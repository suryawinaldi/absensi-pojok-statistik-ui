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Agen Pojok Statistik UI" sheetId="1" r:id="rId5"/>
    <sheet state="visible" name="Jadwal Jaga" sheetId="2" r:id="rId6"/>
    <sheet state="visible" name="Rekap Denda" sheetId="3" r:id="rId7"/>
    <sheet state="visible" name="Senin" sheetId="4" r:id="rId8"/>
    <sheet state="visible" name="Selasa" sheetId="5" r:id="rId9"/>
    <sheet state="visible" name="Rabu" sheetId="6" r:id="rId10"/>
    <sheet state="visible" name="Kamis" sheetId="7" r:id="rId11"/>
    <sheet state="visible" name="Jumat" sheetId="8" r:id="rId12"/>
  </sheets>
  <definedNames/>
  <calcPr/>
</workbook>
</file>

<file path=xl/sharedStrings.xml><?xml version="1.0" encoding="utf-8"?>
<sst xmlns="http://schemas.openxmlformats.org/spreadsheetml/2006/main" count="2065" uniqueCount="130">
  <si>
    <t>Pengurus Inti</t>
  </si>
  <si>
    <t>REKAP DENDA AGEN POJOK STATISTIK UI 2026 PARUH 2</t>
  </si>
  <si>
    <t>1.JADWAL JAGA OFFLINE</t>
  </si>
  <si>
    <t>SPO: SPO Pelayanan dan Konsultasi Offline 2026
PASTIKAN MEMBACA DAN MEMAHAMI SPO DARI AWAL HINGGA AKHIR</t>
  </si>
  <si>
    <t>Analisis Data</t>
  </si>
  <si>
    <t>Pelayanan dan Konsultasi</t>
  </si>
  <si>
    <t>Media Kreatif</t>
  </si>
  <si>
    <t>No</t>
  </si>
  <si>
    <t>Nama Agen</t>
  </si>
  <si>
    <t>TOTAL (AGT - DES 2026)</t>
  </si>
  <si>
    <t>Taslim Ismail Anshorullah</t>
  </si>
  <si>
    <t>REKAP PER BULAN - TOTAL DENDA (Rp)</t>
  </si>
  <si>
    <t>Muhammad Binar Raffi Lazzuardi</t>
  </si>
  <si>
    <t>Mohammad Aqsha Dwinovryan</t>
  </si>
  <si>
    <t>Hylmi Savero Ijraba</t>
  </si>
  <si>
    <t>Evanz Kizito</t>
  </si>
  <si>
    <t>Nasywaa Rahmadhanti Fauzi</t>
  </si>
  <si>
    <t>Surya Winaldi Yakin</t>
  </si>
  <si>
    <t>Andrea Ratu Felia</t>
  </si>
  <si>
    <t>Azmy Qonita</t>
  </si>
  <si>
    <t>Adrian Dwi Mahendra</t>
  </si>
  <si>
    <t>Alya Dwi Nurmiyati</t>
  </si>
  <si>
    <t>Callysta Nadira Suhaidi</t>
  </si>
  <si>
    <t>Azka Tsabbita</t>
  </si>
  <si>
    <t>Genisha Almyra Mumtaz</t>
  </si>
  <si>
    <t>Bagas Aryo Wicaksono</t>
  </si>
  <si>
    <t>Akbar Reshan Fekran Muhammad</t>
  </si>
  <si>
    <t>Alif Ramdhani Izharulhaq</t>
  </si>
  <si>
    <t>Azka Safira Amorizki</t>
  </si>
  <si>
    <t>Dastin Rangga Berani</t>
  </si>
  <si>
    <t>Marc Constantine Lee Prijanto</t>
  </si>
  <si>
    <t>NO</t>
  </si>
  <si>
    <t>PERHATIKAN</t>
  </si>
  <si>
    <t>REKAP PER MINGGU - TOTAL DENDA (Rp)</t>
  </si>
  <si>
    <t>Ilea Putrisia</t>
  </si>
  <si>
    <t>Fadhil Rusydi Hafizh</t>
  </si>
  <si>
    <t>Luna Hafijhah</t>
  </si>
  <si>
    <t>Khalisha Zhurifah Sejati</t>
  </si>
  <si>
    <t>Febinadia Salsabila</t>
  </si>
  <si>
    <t>Aisya Az - Zahra Putri Fadi</t>
  </si>
  <si>
    <t>Khansa Putri Indira</t>
  </si>
  <si>
    <t>Gusti Agung Ayu Savithri Nirmalasari</t>
  </si>
  <si>
    <t>Alifia Febrina</t>
  </si>
  <si>
    <t>Miguel</t>
  </si>
  <si>
    <t>Maria Ellora Damarkasih</t>
  </si>
  <si>
    <t>Zafira Khairina</t>
  </si>
  <si>
    <r>
      <rPr>
        <rFont val="Arial"/>
        <b/>
        <color theme="1"/>
      </rPr>
      <t>Semua Agen</t>
    </r>
    <r>
      <rPr>
        <rFont val="Arial"/>
        <color theme="1"/>
      </rPr>
      <t xml:space="preserve"> yang melakukan pelayanan dan konsultasi offline </t>
    </r>
    <r>
      <rPr>
        <rFont val="Arial"/>
        <b/>
        <color theme="1"/>
      </rPr>
      <t>diwajibkan untuk</t>
    </r>
    <r>
      <rPr>
        <rFont val="Arial"/>
        <color theme="1"/>
      </rPr>
      <t>;
a. memiliki akun BPS dan
b. melakukan absensi dengan akun BPS sesuai dengan jadwalnya.</t>
    </r>
  </si>
  <si>
    <t>Ralf Zidane Harry</t>
  </si>
  <si>
    <t>Yossi Tri Rahmanda</t>
  </si>
  <si>
    <t>Jumlah
Telat</t>
  </si>
  <si>
    <t>Ilona Kalista Siti Dewinta</t>
  </si>
  <si>
    <t>Ruben Gian Agustin</t>
  </si>
  <si>
    <t>Jumlah
Tdk Masuk</t>
  </si>
  <si>
    <t>Najwa Aulia Putri</t>
  </si>
  <si>
    <t>Putu Daiva Ardhiyanta Dharmadwipa</t>
  </si>
  <si>
    <t>Total Denda
(Rp)</t>
  </si>
  <si>
    <t>Satriyo Nur Hidayat</t>
  </si>
  <si>
    <t>Agustus</t>
  </si>
  <si>
    <t>Reksa Utami</t>
  </si>
  <si>
    <t>Resty Novika Febrilia</t>
  </si>
  <si>
    <t>September</t>
  </si>
  <si>
    <r>
      <rPr>
        <rFont val="Arial"/>
        <color theme="1"/>
      </rPr>
      <t xml:space="preserve">Jika Agen </t>
    </r>
    <r>
      <rPr>
        <rFont val="Arial"/>
        <b/>
        <color theme="1"/>
      </rPr>
      <t xml:space="preserve">tidak dapat </t>
    </r>
    <r>
      <rPr>
        <rFont val="Arial"/>
        <color theme="1"/>
      </rPr>
      <t xml:space="preserve">melakukan pelayanan dan konsultasi offline, maka agen perlu melakukan mekanisme perizinan </t>
    </r>
    <r>
      <rPr>
        <rFont val="Arial"/>
        <b/>
        <color theme="1"/>
      </rPr>
      <t>minimal 2 jam sebelum jadwal jaga</t>
    </r>
    <r>
      <rPr>
        <rFont val="Arial"/>
        <color theme="1"/>
      </rPr>
      <t xml:space="preserve"> pada Surya (ID LINE: suryawinaldi9).</t>
    </r>
  </si>
  <si>
    <t>REKAP KEHADIRAN &amp; DENDA - HARI SENIN</t>
  </si>
  <si>
    <r>
      <rPr>
        <rFont val="Arial"/>
        <b/>
        <color theme="1"/>
      </rPr>
      <t>NARAHUBUNG: Surya</t>
    </r>
    <r>
      <rPr>
        <rFont val="Arial"/>
        <b val="0"/>
        <color theme="1"/>
      </rPr>
      <t xml:space="preserve"> (ID LINE: suryawinaldi9/WA 082342370171)</t>
    </r>
  </si>
  <si>
    <t>Oktober</t>
  </si>
  <si>
    <t>November</t>
  </si>
  <si>
    <t>Desember</t>
  </si>
  <si>
    <t>Senin</t>
  </si>
  <si>
    <t>Mgg 1
31/08</t>
  </si>
  <si>
    <t>Mgg 2
07/09</t>
  </si>
  <si>
    <t>Mgg 3
14/09</t>
  </si>
  <si>
    <t>Mgg 4
21/09</t>
  </si>
  <si>
    <t>Mgg 5
28/09</t>
  </si>
  <si>
    <t>Mgg 6
05/10</t>
  </si>
  <si>
    <t>Sesi Pagi: 10:00 - 12:30   |   Sesi Siang: 12:30 - 15:00</t>
  </si>
  <si>
    <t>Selasa</t>
  </si>
  <si>
    <t>Mgg 7
12/10</t>
  </si>
  <si>
    <t>Mgg 8
19/10</t>
  </si>
  <si>
    <t>Mgg 9
26/10</t>
  </si>
  <si>
    <t>Mgg 10
02/11</t>
  </si>
  <si>
    <t>Rabu</t>
  </si>
  <si>
    <t>Mgg 11
09/11</t>
  </si>
  <si>
    <t>Mgg 12
16/11</t>
  </si>
  <si>
    <t>Mgg 13
23/11</t>
  </si>
  <si>
    <t>PJ Pagi</t>
  </si>
  <si>
    <t>Kamis</t>
  </si>
  <si>
    <t>Mgg 14
30/11</t>
  </si>
  <si>
    <t>Mgg 15
07/12</t>
  </si>
  <si>
    <t>Mgg 16
14/12</t>
  </si>
  <si>
    <t>Mgg 17
21/12</t>
  </si>
  <si>
    <t>Mgg 18
28/12</t>
  </si>
  <si>
    <t>Mgg 19
04/01</t>
  </si>
  <si>
    <t>Jum'at</t>
  </si>
  <si>
    <t>Yossi, Aqsha</t>
  </si>
  <si>
    <t>Mgg 20
11/01</t>
  </si>
  <si>
    <t>PJ Siang</t>
  </si>
  <si>
    <t>Reksa</t>
  </si>
  <si>
    <t>Tanggal</t>
  </si>
  <si>
    <t>Pagi
10.00 - 12.30</t>
  </si>
  <si>
    <t>Siang
12.30 - 15.00</t>
  </si>
  <si>
    <t>Pagi
10.00 - 11.30</t>
  </si>
  <si>
    <t>Siang
13.15 - 15.00</t>
  </si>
  <si>
    <t>Sesi</t>
  </si>
  <si>
    <t>Kehadiran</t>
  </si>
  <si>
    <t>Waktu Kehadiran</t>
  </si>
  <si>
    <t>Ada Perizinan?</t>
  </si>
  <si>
    <t>Denda</t>
  </si>
  <si>
    <t>Evans Kizito</t>
  </si>
  <si>
    <t>Biaya Denda (Rp)</t>
  </si>
  <si>
    <t>Status Pelunasan</t>
  </si>
  <si>
    <t>Pagi</t>
  </si>
  <si>
    <t>Tidak Hadir</t>
  </si>
  <si>
    <t>Ya</t>
  </si>
  <si>
    <t>REKAP KEHADIRAN &amp; DENDA - HARI SELASA</t>
  </si>
  <si>
    <t>Hadir</t>
  </si>
  <si>
    <t>Bagas</t>
  </si>
  <si>
    <t xml:space="preserve">Fadhil, Lala, Nana </t>
  </si>
  <si>
    <t>Siang</t>
  </si>
  <si>
    <t>REKAP KEHADIRAN &amp; DENDA - HARI RABU</t>
  </si>
  <si>
    <t>Febi</t>
  </si>
  <si>
    <t>Surya</t>
  </si>
  <si>
    <t>Tidak</t>
  </si>
  <si>
    <t>REKAP KEHADIRAN &amp; DENDA - HARI KAMIS</t>
  </si>
  <si>
    <t>Aqsha, Surya</t>
  </si>
  <si>
    <t>Alya</t>
  </si>
  <si>
    <t>Belum Lunas</t>
  </si>
  <si>
    <t>REKAP KEHADIRAN &amp; DENDA - HARI JUMAT</t>
  </si>
  <si>
    <t>Sesi Pagi: 10:00 - 11.30   |   Sesi Siang: 13:15 - 15:00</t>
  </si>
  <si>
    <t>Dastin</t>
  </si>
  <si>
    <t>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</si>
</sst>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H:mm:ss"/>
    <numFmt numFmtId="166" formatCode="&quot;Rp &quot;#,##0"/>
    <numFmt numFmtId="167" formatCode="hh:mm"/>
  </numFmts>
  <fonts count="14">
    <font>
      <sz val="11.0"/>
      <color theme="1"/>
      <name val="Calibri"/>
      <scheme val="minor"/>
    </font>
    <font>
      <color theme="1"/>
      <name val="Calibri"/>
      <scheme val="minor"/>
    </font>
    <font>
      <b/>
      <sz val="23.0"/>
      <color theme="1"/>
      <name val="Arial"/>
    </font>
    <font/>
    <font>
      <b/>
      <sz val="14.0"/>
      <color rgb="FF000000"/>
      <name val="Arial"/>
    </font>
    <font>
      <b/>
      <sz val="9.0"/>
      <color rgb="FFFFFFFF"/>
      <name val="Arial"/>
    </font>
    <font>
      <color theme="1"/>
      <name val="Arial"/>
    </font>
    <font>
      <b/>
      <u/>
      <sz val="16.0"/>
      <color theme="1"/>
      <name val="Arial"/>
    </font>
    <font>
      <b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548235"/>
      </patternFill>
    </fill>
    <fill>
      <patternFill patternType="solid">
        <fgColor rgb="FFD9EAD3"/>
        <bgColor rgb="FFD9EAD3"/>
      </patternFill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readingOrder="0"/>
    </xf>
    <xf borderId="4" fillId="4" fontId="5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vertical="bottom"/>
    </xf>
    <xf borderId="0" fillId="5" fontId="7" numFmtId="0" xfId="0" applyAlignment="1" applyFill="1" applyFont="1">
      <alignment horizontal="center"/>
    </xf>
    <xf borderId="4" fillId="6" fontId="5" numFmtId="0" xfId="0" applyAlignment="1" applyBorder="1" applyFill="1" applyFont="1">
      <alignment horizontal="center" vertical="center"/>
    </xf>
    <xf borderId="7" fillId="5" fontId="8" numFmtId="0" xfId="0" applyAlignment="1" applyBorder="1" applyFill="1" applyFont="1">
      <alignment vertical="bottom"/>
    </xf>
    <xf borderId="8" fillId="0" fontId="6" numFmtId="0" xfId="0" applyAlignment="1" applyBorder="1" applyFont="1">
      <alignment vertical="bottom"/>
    </xf>
    <xf borderId="1" fillId="5" fontId="8" numFmtId="0" xfId="0" applyAlignment="1" applyBorder="1" applyFill="1" applyFont="1">
      <alignment vertical="bottom"/>
    </xf>
    <xf borderId="4" fillId="7" fontId="5" numFmtId="0" xfId="0" applyAlignment="1" applyBorder="1" applyFill="1" applyFont="1">
      <alignment horizontal="center" vertical="center"/>
    </xf>
    <xf borderId="7" fillId="5" fontId="6" numFmtId="0" xfId="0" applyAlignment="1" applyBorder="1" applyFill="1" applyFont="1">
      <alignment horizontal="center"/>
    </xf>
    <xf borderId="0" fillId="0" fontId="6" numFmtId="0" xfId="0" applyAlignment="1" applyFont="1">
      <alignment vertical="bottom"/>
    </xf>
    <xf borderId="9" fillId="8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vertical="bottom"/>
    </xf>
    <xf borderId="0" fillId="5" fontId="8" numFmtId="0" xfId="0" applyAlignment="1" applyFill="1" applyFont="1">
      <alignment vertical="bottom"/>
    </xf>
    <xf borderId="10" fillId="5" fontId="8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/>
    </xf>
    <xf borderId="0" fillId="0" fontId="10" numFmtId="0" xfId="0" applyFont="1"/>
    <xf borderId="11" fillId="9" fontId="11" numFmtId="0" xfId="0" applyBorder="1" applyFill="1" applyFont="1"/>
    <xf borderId="9" fillId="0" fontId="11" numFmtId="0" xfId="0" applyAlignment="1" applyBorder="1" applyFont="1">
      <alignment horizontal="center"/>
    </xf>
    <xf borderId="9" fillId="9" fontId="11" numFmtId="49" xfId="0" applyBorder="1" applyFill="1" applyFont="1" applyNumberFormat="1"/>
    <xf borderId="12" fillId="0" fontId="3" numFmtId="0" xfId="0" applyBorder="1" applyFont="1"/>
    <xf borderId="7" fillId="10" fontId="6" numFmtId="0" xfId="0" applyAlignment="1" applyBorder="1" applyFill="1" applyFont="1">
      <alignment horizontal="center" shrinkToFit="0" vertical="bottom" wrapText="1"/>
    </xf>
    <xf borderId="7" fillId="0" fontId="6" numFmtId="0" xfId="0" applyAlignment="1" applyBorder="1" applyFont="1">
      <alignment horizontal="center" shrinkToFit="0" vertical="bottom" wrapText="0"/>
    </xf>
    <xf borderId="7" fillId="11" fontId="6" numFmtId="0" xfId="0" applyAlignment="1" applyBorder="1" applyFill="1" applyFont="1">
      <alignment vertical="bottom"/>
    </xf>
    <xf borderId="0" fillId="0" fontId="12" numFmtId="0" xfId="0" applyAlignment="1" applyFont="1">
      <alignment horizontal="center" readingOrder="0" shrinkToFit="0" vertical="center" wrapText="1"/>
    </xf>
    <xf borderId="7" fillId="12" fontId="6" numFmtId="0" xfId="0" applyAlignment="1" applyBorder="1" applyFill="1" applyFont="1">
      <alignment vertical="bottom"/>
    </xf>
    <xf borderId="7" fillId="12" fontId="6" numFmtId="0" xfId="0" applyAlignment="1" applyBorder="1" applyFill="1" applyFont="1">
      <alignment shrinkToFit="0" vertical="bottom" wrapText="0"/>
    </xf>
    <xf borderId="0" fillId="11" fontId="6" numFmtId="0" xfId="0" applyAlignment="1" applyFill="1" applyFont="1">
      <alignment vertical="bottom"/>
    </xf>
    <xf borderId="0" fillId="0" fontId="13" numFmtId="0" xfId="0" applyAlignment="1" applyFont="1">
      <alignment horizontal="left" readingOrder="0" shrinkToFit="0" vertical="center" wrapText="0"/>
    </xf>
    <xf borderId="9" fillId="13" fontId="11" numFmtId="164" xfId="0" applyAlignment="1" applyBorder="1" applyFill="1" applyFont="1" applyNumberFormat="1">
      <alignment shrinkToFit="0" vertical="center" wrapText="0"/>
    </xf>
    <xf borderId="9" fillId="13" fontId="11" numFmtId="0" xfId="0" applyAlignment="1" applyBorder="1" applyFill="1" applyFont="1">
      <alignment shrinkToFit="0" vertical="center" wrapText="0"/>
    </xf>
    <xf borderId="9" fillId="0" fontId="11" numFmtId="49" xfId="0" applyAlignment="1" applyBorder="1" applyFont="1" applyNumberFormat="1">
      <alignment shrinkToFit="0" vertical="center" wrapText="0"/>
    </xf>
    <xf borderId="9" fillId="0" fontId="11" numFmtId="0" xfId="0" applyBorder="1" applyFont="1"/>
    <xf borderId="9" fillId="0" fontId="11" numFmtId="0" xfId="0" applyAlignment="1" applyBorder="1" applyFont="1">
      <alignment readingOrder="0" shrinkToFit="0" vertical="center" wrapText="0"/>
    </xf>
    <xf borderId="9" fillId="0" fontId="11" numFmtId="165" xfId="0" applyAlignment="1" applyBorder="1" applyFont="1" applyNumberFormat="1">
      <alignment readingOrder="0" shrinkToFit="0" vertical="center" wrapText="0"/>
    </xf>
    <xf borderId="9" fillId="0" fontId="11" numFmtId="0" xfId="0" applyAlignment="1" applyBorder="1" applyFont="1">
      <alignment horizontal="center" shrinkToFit="0" vertical="center" wrapText="0"/>
    </xf>
    <xf borderId="9" fillId="0" fontId="11" numFmtId="166" xfId="0" applyBorder="1" applyFont="1" applyNumberFormat="1"/>
    <xf borderId="9" fillId="0" fontId="11" numFmtId="166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1" fillId="9" fontId="11" numFmtId="0" xfId="0" applyAlignment="1" applyBorder="1" applyFill="1" applyFont="1">
      <alignment readingOrder="0"/>
    </xf>
    <xf borderId="9" fillId="0" fontId="11" numFmtId="0" xfId="0" applyAlignment="1" applyBorder="1" applyFont="1">
      <alignment shrinkToFit="0" vertical="center" wrapText="0"/>
    </xf>
    <xf borderId="9" fillId="0" fontId="11" numFmtId="0" xfId="0" applyAlignment="1" applyBorder="1" applyFont="1">
      <alignment readingOrder="0" shrinkToFit="0" vertical="center" wrapText="0"/>
    </xf>
    <xf borderId="9" fillId="14" fontId="11" numFmtId="164" xfId="0" applyAlignment="1" applyBorder="1" applyFill="1" applyFont="1" applyNumberFormat="1">
      <alignment shrinkToFit="0" vertical="center" wrapText="0"/>
    </xf>
    <xf borderId="9" fillId="14" fontId="11" numFmtId="0" xfId="0" applyAlignment="1" applyBorder="1" applyFill="1" applyFont="1">
      <alignment shrinkToFit="0" vertical="center" wrapText="0"/>
    </xf>
    <xf borderId="9" fillId="0" fontId="11" numFmtId="165" xfId="0" applyAlignment="1" applyBorder="1" applyFont="1" applyNumberFormat="1">
      <alignment shrinkToFit="0" vertical="center" wrapText="0"/>
    </xf>
    <xf borderId="9" fillId="0" fontId="11" numFmtId="0" xfId="0" applyAlignment="1" applyBorder="1" applyFont="1">
      <alignment shrinkToFit="0" vertical="center" wrapText="0"/>
    </xf>
    <xf borderId="9" fillId="0" fontId="11" numFmtId="21" xfId="0" applyAlignment="1" applyBorder="1" applyFont="1" applyNumberFormat="1">
      <alignment readingOrder="0" shrinkToFit="0" vertical="center" wrapText="0"/>
    </xf>
    <xf borderId="9" fillId="0" fontId="11" numFmtId="0" xfId="0" applyAlignment="1" applyBorder="1" applyFont="1">
      <alignment readingOrder="0" shrinkToFit="0" vertical="center" wrapText="0"/>
    </xf>
    <xf borderId="9" fillId="0" fontId="11" numFmtId="21" xfId="0" applyAlignment="1" applyBorder="1" applyFont="1" applyNumberFormat="1">
      <alignment shrinkToFit="0" vertical="center" wrapText="0"/>
    </xf>
    <xf borderId="9" fillId="0" fontId="11" numFmtId="167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3" fontId="4" numFmtId="0" xfId="0" applyAlignment="1" applyBorder="1" applyFill="1" applyFont="1">
      <alignment horizontal="center" readingOrder="0"/>
    </xf>
    <xf borderId="9" fillId="9" fontId="11" numFmtId="0" xfId="0" applyBorder="1" applyFill="1" applyFont="1"/>
    <xf borderId="0" fillId="0" fontId="11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5">
    <tableStyle count="4" pivot="0" name="Sen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a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b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m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m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I146" displayName="Senin" name="Senin" id="1">
  <tableColumns count="9">
    <tableColumn name="Tanggal" id="1"/>
    <tableColumn name="Sesi" id="2"/>
    <tableColumn name="Nama Agen" id="3"/>
    <tableColumn name="Kehadiran" id="4"/>
    <tableColumn name="Waktu Kehadiran" id="5"/>
    <tableColumn name="Ada Perizinan?" id="6"/>
    <tableColumn name="Denda" id="7"/>
    <tableColumn name="Biaya Denda (Rp)" id="8"/>
    <tableColumn name="Status Pelunasan" id="9"/>
  </tableColumns>
  <tableStyleInfo name="Senin-style" showColumnStripes="0" showFirstColumn="1" showLastColumn="1" showRowStripes="1"/>
</table>
</file>

<file path=xl/tables/table2.xml><?xml version="1.0" encoding="utf-8"?>
<table xmlns="http://schemas.openxmlformats.org/spreadsheetml/2006/main" ref="A6:I166" displayName="Selasa" name="Selasa" id="2">
  <tableColumns count="9">
    <tableColumn name="Tanggal" id="1"/>
    <tableColumn name="Sesi" id="2"/>
    <tableColumn name="Nama Agen" id="3"/>
    <tableColumn name="Kehadiran" id="4"/>
    <tableColumn name="Waktu Kehadiran" id="5"/>
    <tableColumn name="Ada Perizinan?" id="6"/>
    <tableColumn name="Denda" id="7"/>
    <tableColumn name="Biaya Denda (Rp)" id="8"/>
    <tableColumn name="Status Pelunasan" id="9"/>
  </tableColumns>
  <tableStyleInfo name="Selasa-style" showColumnStripes="0" showFirstColumn="1" showLastColumn="1" showRowStripes="1"/>
</table>
</file>

<file path=xl/tables/table3.xml><?xml version="1.0" encoding="utf-8"?>
<table xmlns="http://schemas.openxmlformats.org/spreadsheetml/2006/main" ref="A6:I206" displayName="Rabu" name="Rabu" id="3">
  <tableColumns count="9">
    <tableColumn name="Tanggal" id="1"/>
    <tableColumn name="Sesi" id="2"/>
    <tableColumn name="Nama Agen" id="3"/>
    <tableColumn name="Kehadiran" id="4"/>
    <tableColumn name="Waktu Kehadiran" id="5"/>
    <tableColumn name="Ada Perizinan?" id="6"/>
    <tableColumn name="Denda" id="7"/>
    <tableColumn name="Biaya Denda (Rp)" id="8"/>
    <tableColumn name="Status Pelunasan" id="9"/>
  </tableColumns>
  <tableStyleInfo name="Rabu-style" showColumnStripes="0" showFirstColumn="1" showLastColumn="1" showRowStripes="1"/>
</table>
</file>

<file path=xl/tables/table4.xml><?xml version="1.0" encoding="utf-8"?>
<table xmlns="http://schemas.openxmlformats.org/spreadsheetml/2006/main" ref="A6:I186" displayName="Kamis" name="Kamis" id="4">
  <tableColumns count="9">
    <tableColumn name="Tanggal" id="1"/>
    <tableColumn name="Sesi" id="2"/>
    <tableColumn name="Nama Agen" id="3"/>
    <tableColumn name="Kehadiran" id="4"/>
    <tableColumn name="Waktu Kehadiran" id="5"/>
    <tableColumn name="Ada Perizinan?" id="6"/>
    <tableColumn name="Denda" id="7"/>
    <tableColumn name="Biaya Denda (Rp)" id="8"/>
    <tableColumn name="Status Pelunasan" id="9"/>
  </tableColumns>
  <tableStyleInfo name="Kamis-style" showColumnStripes="0" showFirstColumn="1" showLastColumn="1" showRowStripes="1"/>
</table>
</file>

<file path=xl/tables/table5.xml><?xml version="1.0" encoding="utf-8"?>
<table xmlns="http://schemas.openxmlformats.org/spreadsheetml/2006/main" ref="A6:I186" displayName="Jumat" name="Jumat" id="5">
  <tableColumns count="9">
    <tableColumn name="Tanggal" id="1"/>
    <tableColumn name="Sesi" id="2"/>
    <tableColumn name="Nama Agen" id="3"/>
    <tableColumn name="Kehadiran" id="4"/>
    <tableColumn name="Waktu Kehadiran" id="5"/>
    <tableColumn name="Ada Perizinan?" id="6"/>
    <tableColumn name="Denda" id="7"/>
    <tableColumn name="Biaya Denda (Rp)" id="8"/>
    <tableColumn name="Status Pelunasan" id="9"/>
  </tableColumns>
  <tableStyleInfo name="Jum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VkUdcVvf96tjBHo-Wyz2qeNweGvej5BavZAkY8_vXY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71"/>
    <col customWidth="1" min="5" max="5" width="35.57"/>
    <col customWidth="1" min="8" max="8" width="35.57"/>
    <col customWidth="1" min="11" max="11" width="35.43"/>
  </cols>
  <sheetData>
    <row r="1">
      <c r="A1" s="1" t="s">
        <v>0</v>
      </c>
      <c r="B1" s="4"/>
      <c r="D1" s="1" t="s">
        <v>4</v>
      </c>
      <c r="E1" s="4"/>
      <c r="G1" s="1" t="s">
        <v>5</v>
      </c>
      <c r="H1" s="4"/>
      <c r="J1" s="1" t="s">
        <v>6</v>
      </c>
      <c r="K1" s="4"/>
    </row>
    <row r="2">
      <c r="A2" s="8" t="s">
        <v>7</v>
      </c>
      <c r="B2" s="8" t="s">
        <v>8</v>
      </c>
      <c r="D2" s="8" t="s">
        <v>7</v>
      </c>
      <c r="E2" s="8" t="s">
        <v>8</v>
      </c>
      <c r="G2" s="8" t="s">
        <v>7</v>
      </c>
      <c r="H2" s="8" t="s">
        <v>8</v>
      </c>
      <c r="J2" s="8" t="s">
        <v>7</v>
      </c>
      <c r="K2" s="8" t="s">
        <v>8</v>
      </c>
    </row>
    <row r="3">
      <c r="A3" s="8">
        <v>1.0</v>
      </c>
      <c r="B3" s="10" t="s">
        <v>10</v>
      </c>
      <c r="D3" s="8">
        <v>1.0</v>
      </c>
      <c r="E3" s="10" t="s">
        <v>12</v>
      </c>
      <c r="G3" s="8">
        <v>1.0</v>
      </c>
      <c r="H3" s="10" t="s">
        <v>13</v>
      </c>
      <c r="J3" s="8">
        <v>1.0</v>
      </c>
      <c r="K3" s="10" t="s">
        <v>14</v>
      </c>
    </row>
    <row r="4">
      <c r="A4" s="8">
        <v>2.0</v>
      </c>
      <c r="B4" s="10" t="s">
        <v>15</v>
      </c>
      <c r="D4" s="8">
        <v>2.0</v>
      </c>
      <c r="E4" s="10" t="s">
        <v>16</v>
      </c>
      <c r="G4" s="8">
        <v>2.0</v>
      </c>
      <c r="H4" s="10" t="s">
        <v>17</v>
      </c>
      <c r="J4" s="8">
        <v>2.0</v>
      </c>
      <c r="K4" s="10" t="s">
        <v>18</v>
      </c>
    </row>
    <row r="5">
      <c r="A5" s="8">
        <v>3.0</v>
      </c>
      <c r="B5" s="10" t="s">
        <v>19</v>
      </c>
      <c r="D5" s="8">
        <v>3.0</v>
      </c>
      <c r="E5" s="10" t="s">
        <v>20</v>
      </c>
      <c r="G5" s="8">
        <v>3.0</v>
      </c>
      <c r="H5" s="10" t="s">
        <v>21</v>
      </c>
      <c r="J5" s="8">
        <v>3.0</v>
      </c>
      <c r="K5" s="10" t="s">
        <v>22</v>
      </c>
    </row>
    <row r="6">
      <c r="A6" s="8">
        <v>4.0</v>
      </c>
      <c r="B6" s="10" t="s">
        <v>23</v>
      </c>
      <c r="D6" s="8">
        <v>4.0</v>
      </c>
      <c r="E6" s="10" t="s">
        <v>24</v>
      </c>
      <c r="G6" s="8">
        <v>4.0</v>
      </c>
      <c r="H6" s="10" t="s">
        <v>25</v>
      </c>
      <c r="J6" s="8">
        <v>4.0</v>
      </c>
      <c r="K6" s="10" t="s">
        <v>26</v>
      </c>
    </row>
    <row r="7">
      <c r="A7" s="8">
        <v>5.0</v>
      </c>
      <c r="B7" s="10" t="s">
        <v>27</v>
      </c>
      <c r="D7" s="8">
        <v>5.0</v>
      </c>
      <c r="E7" s="10" t="s">
        <v>28</v>
      </c>
      <c r="G7" s="8">
        <v>5.0</v>
      </c>
      <c r="H7" s="10" t="s">
        <v>29</v>
      </c>
      <c r="J7" s="8">
        <v>5.0</v>
      </c>
      <c r="K7" s="10" t="s">
        <v>30</v>
      </c>
    </row>
    <row r="8">
      <c r="B8" s="14"/>
      <c r="D8" s="8">
        <v>6.0</v>
      </c>
      <c r="E8" s="10" t="s">
        <v>34</v>
      </c>
      <c r="G8" s="8">
        <v>6.0</v>
      </c>
      <c r="H8" s="10" t="s">
        <v>35</v>
      </c>
      <c r="J8" s="8">
        <v>6.0</v>
      </c>
      <c r="K8" s="10" t="s">
        <v>36</v>
      </c>
    </row>
    <row r="9">
      <c r="B9" s="18"/>
      <c r="D9" s="8">
        <v>7.0</v>
      </c>
      <c r="E9" s="10" t="s">
        <v>37</v>
      </c>
      <c r="G9" s="8">
        <v>7.0</v>
      </c>
      <c r="H9" s="10" t="s">
        <v>38</v>
      </c>
      <c r="J9" s="8">
        <v>7.0</v>
      </c>
      <c r="K9" s="10" t="s">
        <v>39</v>
      </c>
    </row>
    <row r="10">
      <c r="B10" s="18"/>
      <c r="D10" s="8">
        <v>8.0</v>
      </c>
      <c r="E10" s="10" t="s">
        <v>40</v>
      </c>
      <c r="G10" s="8">
        <v>8.0</v>
      </c>
      <c r="H10" s="10" t="s">
        <v>41</v>
      </c>
      <c r="J10" s="8">
        <v>8.0</v>
      </c>
      <c r="K10" s="10" t="s">
        <v>42</v>
      </c>
    </row>
    <row r="11">
      <c r="B11" s="18"/>
      <c r="D11" s="8">
        <v>9.0</v>
      </c>
      <c r="E11" s="10" t="s">
        <v>43</v>
      </c>
      <c r="G11" s="8">
        <v>9.0</v>
      </c>
      <c r="H11" s="10" t="s">
        <v>44</v>
      </c>
      <c r="J11" s="8">
        <v>9.0</v>
      </c>
      <c r="K11" s="10" t="s">
        <v>45</v>
      </c>
    </row>
    <row r="12">
      <c r="D12" s="8">
        <v>10.0</v>
      </c>
      <c r="E12" s="10" t="s">
        <v>47</v>
      </c>
      <c r="G12" s="8">
        <v>10.0</v>
      </c>
      <c r="H12" s="10" t="s">
        <v>48</v>
      </c>
      <c r="J12" s="8">
        <v>10.0</v>
      </c>
      <c r="K12" s="10" t="s">
        <v>50</v>
      </c>
    </row>
    <row r="13">
      <c r="D13" s="8">
        <v>11.0</v>
      </c>
      <c r="E13" s="10" t="s">
        <v>51</v>
      </c>
      <c r="G13" s="8">
        <v>11.0</v>
      </c>
      <c r="H13" s="10" t="s">
        <v>53</v>
      </c>
      <c r="J13" s="8">
        <v>11.0</v>
      </c>
      <c r="K13" s="10" t="s">
        <v>54</v>
      </c>
    </row>
    <row r="14">
      <c r="D14" s="8">
        <v>12.0</v>
      </c>
      <c r="E14" s="10" t="s">
        <v>56</v>
      </c>
      <c r="G14" s="8">
        <v>12.0</v>
      </c>
      <c r="H14" s="10" t="s">
        <v>58</v>
      </c>
      <c r="J14" s="8">
        <v>12.0</v>
      </c>
      <c r="K14" s="10" t="s">
        <v>59</v>
      </c>
    </row>
    <row r="15">
      <c r="E15" s="18"/>
      <c r="H15" s="18"/>
      <c r="J15" s="8">
        <v>11.0</v>
      </c>
      <c r="K15" s="10" t="s">
        <v>54</v>
      </c>
    </row>
    <row r="16">
      <c r="E16" s="18"/>
      <c r="H16" s="18"/>
      <c r="J16" s="8">
        <v>12.0</v>
      </c>
      <c r="K16" s="10" t="s">
        <v>59</v>
      </c>
    </row>
    <row r="17">
      <c r="E17" s="18"/>
      <c r="K17" s="14"/>
    </row>
    <row r="18">
      <c r="E18" s="18"/>
      <c r="K18" s="18"/>
    </row>
  </sheetData>
  <mergeCells count="4">
    <mergeCell ref="A1:B1"/>
    <mergeCell ref="D1:E1"/>
    <mergeCell ref="G1:H1"/>
    <mergeCell ref="J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4.71"/>
    <col customWidth="1" min="4" max="4" width="28.43"/>
    <col customWidth="1" min="5" max="5" width="22.86"/>
    <col customWidth="1" min="6" max="6" width="29.29"/>
    <col customWidth="1" min="7" max="7" width="35.57"/>
    <col customWidth="1" min="9" max="9" width="30.29"/>
    <col customWidth="1" min="10" max="10" width="35.43"/>
    <col customWidth="1" min="11" max="11" width="33.14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11" t="s">
        <v>3</v>
      </c>
    </row>
    <row r="3">
      <c r="A3" s="13" t="s">
        <v>31</v>
      </c>
      <c r="B3" s="15" t="s">
        <v>32</v>
      </c>
      <c r="C3" s="3"/>
      <c r="D3" s="3"/>
      <c r="E3" s="3"/>
      <c r="F3" s="3"/>
      <c r="G3" s="3"/>
      <c r="H3" s="3"/>
      <c r="I3" s="3"/>
      <c r="J3" s="3"/>
      <c r="K3" s="4"/>
    </row>
    <row r="4">
      <c r="A4" s="17">
        <v>1.0</v>
      </c>
      <c r="B4" s="20" t="s">
        <v>46</v>
      </c>
      <c r="C4" s="3"/>
      <c r="D4" s="3"/>
      <c r="E4" s="3"/>
      <c r="F4" s="3"/>
      <c r="G4" s="3"/>
      <c r="H4" s="3"/>
      <c r="I4" s="3"/>
      <c r="J4" s="3"/>
      <c r="K4" s="4"/>
    </row>
    <row r="5">
      <c r="A5" s="17">
        <v>2.0</v>
      </c>
      <c r="B5" s="20" t="s">
        <v>61</v>
      </c>
      <c r="C5" s="3"/>
      <c r="D5" s="3"/>
      <c r="E5" s="3"/>
      <c r="F5" s="3"/>
      <c r="G5" s="3"/>
      <c r="H5" s="3"/>
      <c r="I5" s="3"/>
      <c r="J5" s="3"/>
      <c r="K5" s="4"/>
    </row>
    <row r="6">
      <c r="A6" s="21" t="s">
        <v>63</v>
      </c>
    </row>
    <row r="7">
      <c r="A7" s="22" t="s">
        <v>7</v>
      </c>
      <c r="B7" s="23" t="s">
        <v>67</v>
      </c>
      <c r="C7" s="4"/>
      <c r="D7" s="23" t="s">
        <v>75</v>
      </c>
      <c r="E7" s="4"/>
      <c r="F7" s="23" t="s">
        <v>80</v>
      </c>
      <c r="G7" s="4"/>
      <c r="H7" s="23" t="s">
        <v>85</v>
      </c>
      <c r="I7" s="4"/>
      <c r="J7" s="23" t="s">
        <v>92</v>
      </c>
      <c r="K7" s="4"/>
    </row>
    <row r="8">
      <c r="A8" s="29"/>
      <c r="B8" s="30" t="s">
        <v>98</v>
      </c>
      <c r="C8" s="30" t="s">
        <v>99</v>
      </c>
      <c r="D8" s="30" t="s">
        <v>98</v>
      </c>
      <c r="E8" s="30" t="s">
        <v>99</v>
      </c>
      <c r="F8" s="30" t="s">
        <v>98</v>
      </c>
      <c r="G8" s="30" t="s">
        <v>99</v>
      </c>
      <c r="H8" s="30" t="s">
        <v>98</v>
      </c>
      <c r="I8" s="30" t="s">
        <v>99</v>
      </c>
      <c r="J8" s="30" t="s">
        <v>100</v>
      </c>
      <c r="K8" s="30" t="s">
        <v>101</v>
      </c>
    </row>
    <row r="9">
      <c r="A9" s="31">
        <v>1.0</v>
      </c>
      <c r="B9" s="32"/>
      <c r="C9" s="34" t="s">
        <v>58</v>
      </c>
      <c r="D9" s="34" t="s">
        <v>25</v>
      </c>
      <c r="E9" s="34" t="s">
        <v>35</v>
      </c>
      <c r="F9" s="34" t="s">
        <v>38</v>
      </c>
      <c r="G9" s="34" t="s">
        <v>29</v>
      </c>
      <c r="H9" s="32"/>
      <c r="I9" s="35" t="s">
        <v>21</v>
      </c>
      <c r="J9" s="34" t="s">
        <v>17</v>
      </c>
      <c r="K9" s="34" t="s">
        <v>44</v>
      </c>
    </row>
    <row r="10">
      <c r="A10" s="31">
        <v>2.0</v>
      </c>
      <c r="B10" s="32"/>
      <c r="C10" s="10" t="s">
        <v>23</v>
      </c>
      <c r="D10" s="34" t="s">
        <v>48</v>
      </c>
      <c r="E10" s="34" t="s">
        <v>53</v>
      </c>
      <c r="F10" s="10" t="s">
        <v>56</v>
      </c>
      <c r="G10" s="34" t="s">
        <v>41</v>
      </c>
      <c r="H10" s="32"/>
      <c r="I10" s="34" t="s">
        <v>13</v>
      </c>
      <c r="J10" s="10" t="s">
        <v>19</v>
      </c>
      <c r="K10" s="10" t="s">
        <v>43</v>
      </c>
    </row>
    <row r="11">
      <c r="A11" s="31">
        <v>3.0</v>
      </c>
      <c r="B11" s="36"/>
      <c r="C11" s="10" t="s">
        <v>40</v>
      </c>
      <c r="D11" s="10" t="s">
        <v>34</v>
      </c>
      <c r="E11" s="10" t="s">
        <v>22</v>
      </c>
      <c r="F11" s="10" t="s">
        <v>30</v>
      </c>
      <c r="G11" s="10" t="s">
        <v>12</v>
      </c>
      <c r="H11" s="36"/>
      <c r="I11" s="10" t="s">
        <v>107</v>
      </c>
      <c r="J11" s="10" t="s">
        <v>27</v>
      </c>
      <c r="K11" s="10" t="s">
        <v>45</v>
      </c>
    </row>
    <row r="12">
      <c r="A12" s="31">
        <v>4.0</v>
      </c>
      <c r="B12" s="32"/>
      <c r="C12" s="10" t="s">
        <v>36</v>
      </c>
      <c r="D12" s="10" t="s">
        <v>16</v>
      </c>
      <c r="E12" s="10" t="s">
        <v>20</v>
      </c>
      <c r="F12" s="10" t="s">
        <v>50</v>
      </c>
      <c r="G12" s="10" t="s">
        <v>47</v>
      </c>
      <c r="H12" s="36"/>
      <c r="I12" s="10" t="s">
        <v>28</v>
      </c>
      <c r="J12" s="10" t="s">
        <v>42</v>
      </c>
      <c r="K12" s="10" t="s">
        <v>26</v>
      </c>
    </row>
    <row r="13">
      <c r="A13" s="31">
        <v>5.0</v>
      </c>
      <c r="B13" s="32"/>
      <c r="C13" s="10" t="s">
        <v>10</v>
      </c>
      <c r="D13" s="10"/>
      <c r="E13" s="10"/>
      <c r="F13" s="10" t="s">
        <v>59</v>
      </c>
      <c r="G13" s="10" t="s">
        <v>37</v>
      </c>
      <c r="H13" s="32"/>
      <c r="I13" s="10" t="s">
        <v>51</v>
      </c>
      <c r="J13" s="10" t="s">
        <v>54</v>
      </c>
      <c r="K13" s="10" t="s">
        <v>14</v>
      </c>
    </row>
    <row r="14">
      <c r="A14" s="31">
        <v>6.0</v>
      </c>
      <c r="B14" s="32"/>
      <c r="C14" s="10" t="s">
        <v>18</v>
      </c>
      <c r="D14" s="10"/>
      <c r="E14" s="18"/>
      <c r="F14" s="10"/>
      <c r="G14" s="10"/>
      <c r="H14" s="32"/>
      <c r="I14" s="10" t="s">
        <v>24</v>
      </c>
      <c r="J14" s="18"/>
      <c r="K14" s="10"/>
    </row>
    <row r="15">
      <c r="A15" s="31">
        <v>7.0</v>
      </c>
      <c r="B15" s="32"/>
      <c r="C15" s="10"/>
      <c r="D15" s="10"/>
      <c r="E15" s="10"/>
      <c r="F15" s="10"/>
      <c r="G15" s="10"/>
      <c r="H15" s="32"/>
      <c r="I15" s="10"/>
      <c r="J15" s="10"/>
      <c r="K15" s="10"/>
    </row>
  </sheetData>
  <mergeCells count="12">
    <mergeCell ref="B7:C7"/>
    <mergeCell ref="D7:E7"/>
    <mergeCell ref="F7:G7"/>
    <mergeCell ref="H7:I7"/>
    <mergeCell ref="A1:K1"/>
    <mergeCell ref="A2:K2"/>
    <mergeCell ref="B3:K3"/>
    <mergeCell ref="B4:K4"/>
    <mergeCell ref="B5:K5"/>
    <mergeCell ref="A6:K6"/>
    <mergeCell ref="A7:A8"/>
    <mergeCell ref="J7:K7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2" width="32.43"/>
    <col customWidth="1" min="3" max="10" width="11.0"/>
    <col customWidth="1" min="11" max="30" width="10.0"/>
  </cols>
  <sheetData>
    <row r="1" ht="18.0" customHeight="1">
      <c r="A1" s="5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</row>
    <row r="2" ht="14.25" customHeight="1">
      <c r="C2" s="9" t="s">
        <v>9</v>
      </c>
      <c r="D2" s="6"/>
      <c r="E2" s="7"/>
      <c r="F2" s="12" t="s">
        <v>11</v>
      </c>
      <c r="G2" s="6"/>
      <c r="H2" s="6"/>
      <c r="I2" s="6"/>
      <c r="J2" s="7"/>
      <c r="K2" s="16" t="s">
        <v>33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 ht="31.5" customHeight="1">
      <c r="A3" s="19" t="s">
        <v>7</v>
      </c>
      <c r="B3" s="19" t="s">
        <v>8</v>
      </c>
      <c r="C3" s="19" t="s">
        <v>49</v>
      </c>
      <c r="D3" s="19" t="s">
        <v>52</v>
      </c>
      <c r="E3" s="19" t="s">
        <v>55</v>
      </c>
      <c r="F3" s="19" t="s">
        <v>57</v>
      </c>
      <c r="G3" s="19" t="s">
        <v>60</v>
      </c>
      <c r="H3" s="19" t="s">
        <v>64</v>
      </c>
      <c r="I3" s="19" t="s">
        <v>65</v>
      </c>
      <c r="J3" s="19" t="s">
        <v>66</v>
      </c>
      <c r="K3" s="19" t="s">
        <v>68</v>
      </c>
      <c r="L3" s="19" t="s">
        <v>69</v>
      </c>
      <c r="M3" s="19" t="s">
        <v>70</v>
      </c>
      <c r="N3" s="19" t="s">
        <v>71</v>
      </c>
      <c r="O3" s="19" t="s">
        <v>72</v>
      </c>
      <c r="P3" s="19" t="s">
        <v>73</v>
      </c>
      <c r="Q3" s="19" t="s">
        <v>76</v>
      </c>
      <c r="R3" s="19" t="s">
        <v>77</v>
      </c>
      <c r="S3" s="19" t="s">
        <v>78</v>
      </c>
      <c r="T3" s="19" t="s">
        <v>79</v>
      </c>
      <c r="U3" s="19" t="s">
        <v>81</v>
      </c>
      <c r="V3" s="19" t="s">
        <v>82</v>
      </c>
      <c r="W3" s="19" t="s">
        <v>83</v>
      </c>
      <c r="X3" s="19" t="s">
        <v>86</v>
      </c>
      <c r="Y3" s="19" t="s">
        <v>87</v>
      </c>
      <c r="Z3" s="19" t="s">
        <v>88</v>
      </c>
      <c r="AA3" s="19" t="s">
        <v>89</v>
      </c>
      <c r="AB3" s="19" t="s">
        <v>90</v>
      </c>
      <c r="AC3" s="19" t="s">
        <v>91</v>
      </c>
      <c r="AD3" s="19" t="s">
        <v>94</v>
      </c>
    </row>
    <row r="4" ht="14.25" customHeight="1">
      <c r="A4" s="27">
        <v>1.0</v>
      </c>
      <c r="B4" s="28" t="s">
        <v>48</v>
      </c>
      <c r="C4" s="41">
        <f>COUNTIFS(Senin!$C$7:$C$146,$B4,Senin!$G$7:$G$146,"Ya",Senin!$E$7:$E$146,"&lt;&gt;")+COUNTIFS(Selasa!$C$7:$C$166,$B4,Selasa!$G$7:$G$166,"Ya",Selasa!$E$7:$E$166,"&lt;&gt;")+COUNTIFS(Rabu!$C$7:$C$206,$B4,Rabu!$G$7:$G$206,"Ya",Rabu!$E$7:$E$206,"&lt;&gt;")+COUNTIFS(Kamis!$C$7:$C$186,$B4,Kamis!$G$7:$G$186,"Ya",Kamis!$E$7:$E$186,"&lt;&gt;")+COUNTIFS(Jumat!$C$7:$C$186,$B4,Jumat!$G$7:$G$186,"Ya",Jumat!$E$7:$E$186,"&lt;&gt;")</f>
        <v>0</v>
      </c>
      <c r="D4" s="41">
        <f>COUNTIFS(Senin!$C$7:$C$146,$B4,Senin!$G$7:$G$146,"Ya",Senin!$E$7:$E$146,"")+COUNTIFS(Selasa!$C$7:$C$166,$B4,Selasa!$G$7:$G$166,"Ya",Selasa!$E$7:$E$166,"")+COUNTIFS(Rabu!$C$7:$C$206,$B4,Rabu!$G$7:$G$206,"Ya",Rabu!$E$7:$E$206,"")+COUNTIFS(Kamis!$C$7:$C$186,$B4,Kamis!$G$7:$G$186,"Ya",Kamis!$E$7:$E$186,"")+COUNTIFS(Jumat!$C$7:$C$186,$B4,Jumat!$G$7:$G$186,"Ya",Jumat!$E$7:$E$186,"")</f>
        <v>0</v>
      </c>
      <c r="E4" s="45">
        <f>SUMIFS(Senin!$H$7:$H$146,Senin!$C$7:$C$146,$B4,Senin!$A$7:$A$146,"&gt;="&amp;DATE(2026,8,1),Senin!$A$7:$A$146,"&lt;="&amp;DATE(2026,12,31))+SUMIFS(Selasa!$H$7:$H$166,Selasa!$C$7:$C$166,$B4,Selasa!$A$7:$A$166,"&gt;="&amp;DATE(2026,8,1),Selasa!$A$7:$A$166,"&lt;="&amp;DATE(2026,12,31))+SUMIFS(Rabu!$H$7:$H$206,Rabu!$C$7:$C$206,$B4,Rabu!$A$7:$A$206,"&gt;="&amp;DATE(2026,8,1),Rabu!$A$7:$A$206,"&lt;="&amp;DATE(2026,12,31))+SUMIFS(Kamis!$H$7:$H$186,Kamis!$C$7:$C$186,$B4,Kamis!$A$7:$A$186,"&gt;="&amp;DATE(2026,8,1),Kamis!$A$7:$A$186,"&lt;="&amp;DATE(2026,12,31))+SUMIFS(Jumat!$H$7:$H$186,Jumat!$C$7:$C$186,$B4,Jumat!$A$7:$A$186,"&gt;="&amp;DATE(2026,8,1),Jumat!$A$7:$A$186,"&lt;="&amp;DATE(2026,12,31))</f>
        <v>0</v>
      </c>
      <c r="F4" s="45">
        <f>SUMIFS(Senin!$H$7:$H$146,Senin!$C$7:$C$146,$B4,Senin!$A$7:$A$146,"&gt;="&amp;DATE(2026,8,1),Senin!$A$7:$A$146,"&lt;="&amp;DATE(2026,8,31))+SUMIFS(Selasa!$H$7:$H$166,Selasa!$C$7:$C$166,$B4,Selasa!$A$7:$A$166,"&gt;="&amp;DATE(2026,8,1),Selasa!$A$7:$A$166,"&lt;="&amp;DATE(2026,8,31))+SUMIFS(Rabu!$H$7:$H$206,Rabu!$C$7:$C$206,$B4,Rabu!$A$7:$A$206,"&gt;="&amp;DATE(2026,8,1),Rabu!$A$7:$A$206,"&lt;="&amp;DATE(2026,8,31))+SUMIFS(Kamis!$H$7:$H$186,Kamis!$C$7:$C$186,$B4,Kamis!$A$7:$A$186,"&gt;="&amp;DATE(2026,8,1),Kamis!$A$7:$A$186,"&lt;="&amp;DATE(2026,8,31))+SUMIFS(Jumat!$H$7:$H$186,Jumat!$C$7:$C$186,$B4,Jumat!$A$7:$A$186,"&gt;="&amp;DATE(2026,8,1),Jumat!$A$7:$A$186,"&lt;="&amp;DATE(2026,8,31))</f>
        <v>0</v>
      </c>
      <c r="G4" s="45">
        <f>SUMIFS(Senin!$H$7:$H$146,Senin!$C$7:$C$146,$B4,Senin!$A$7:$A$146,"&gt;="&amp;DATE(2026,9,1),Senin!$A$7:$A$146,"&lt;="&amp;DATE(2026,9,30))+SUMIFS(Selasa!$H$7:$H$166,Selasa!$C$7:$C$166,$B4,Selasa!$A$7:$A$166,"&gt;="&amp;DATE(2026,9,1),Selasa!$A$7:$A$166,"&lt;="&amp;DATE(2026,9,30))+SUMIFS(Rabu!$H$7:$H$206,Rabu!$C$7:$C$206,$B4,Rabu!$A$7:$A$206,"&gt;="&amp;DATE(2026,9,1),Rabu!$A$7:$A$206,"&lt;="&amp;DATE(2026,9,30))+SUMIFS(Kamis!$H$7:$H$186,Kamis!$C$7:$C$186,$B4,Kamis!$A$7:$A$186,"&gt;="&amp;DATE(2026,9,1),Kamis!$A$7:$A$186,"&lt;="&amp;DATE(2026,9,30))+SUMIFS(Jumat!$H$7:$H$186,Jumat!$C$7:$C$186,$B4,Jumat!$A$7:$A$186,"&gt;="&amp;DATE(2026,9,1),Jumat!$A$7:$A$186,"&lt;="&amp;DATE(2026,9,30))</f>
        <v>0</v>
      </c>
      <c r="H4" s="45">
        <f>SUMIFS(Senin!$H$7:$H$146,Senin!$C$7:$C$146,$B4,Senin!$A$7:$A$146,"&gt;="&amp;DATE(2026,10,1),Senin!$A$7:$A$146,"&lt;="&amp;DATE(2026,10,31))+SUMIFS(Selasa!$H$7:$H$166,Selasa!$C$7:$C$166,$B4,Selasa!$A$7:$A$166,"&gt;="&amp;DATE(2026,10,1),Selasa!$A$7:$A$166,"&lt;="&amp;DATE(2026,10,31))+SUMIFS(Rabu!$H$7:$H$206,Rabu!$C$7:$C$206,$B4,Rabu!$A$7:$A$206,"&gt;="&amp;DATE(2026,10,1),Rabu!$A$7:$A$206,"&lt;="&amp;DATE(2026,10,31))+SUMIFS(Kamis!$H$7:$H$186,Kamis!$C$7:$C$186,$B4,Kamis!$A$7:$A$186,"&gt;="&amp;DATE(2026,10,1),Kamis!$A$7:$A$186,"&lt;="&amp;DATE(2026,10,31))+SUMIFS(Jumat!$H$7:$H$186,Jumat!$C$7:$C$186,$B4,Jumat!$A$7:$A$186,"&gt;="&amp;DATE(2026,10,1),Jumat!$A$7:$A$186,"&lt;="&amp;DATE(2026,10,31))</f>
        <v>0</v>
      </c>
      <c r="I4" s="45">
        <f>SUMIFS(Senin!$H$7:$H$146,Senin!$C$7:$C$146,$B4,Senin!$A$7:$A$146,"&gt;="&amp;DATE(2026,11,1),Senin!$A$7:$A$146,"&lt;="&amp;DATE(2026,11,30))+SUMIFS(Selasa!$H$7:$H$166,Selasa!$C$7:$C$166,$B4,Selasa!$A$7:$A$166,"&gt;="&amp;DATE(2026,11,1),Selasa!$A$7:$A$166,"&lt;="&amp;DATE(2026,11,30))+SUMIFS(Rabu!$H$7:$H$206,Rabu!$C$7:$C$206,$B4,Rabu!$A$7:$A$206,"&gt;="&amp;DATE(2026,11,1),Rabu!$A$7:$A$206,"&lt;="&amp;DATE(2026,11,30))+SUMIFS(Kamis!$H$7:$H$186,Kamis!$C$7:$C$186,$B4,Kamis!$A$7:$A$186,"&gt;="&amp;DATE(2026,11,1),Kamis!$A$7:$A$186,"&lt;="&amp;DATE(2026,11,30))+SUMIFS(Jumat!$H$7:$H$186,Jumat!$C$7:$C$186,$B4,Jumat!$A$7:$A$186,"&gt;="&amp;DATE(2026,11,1),Jumat!$A$7:$A$186,"&lt;="&amp;DATE(2026,11,30))</f>
        <v>0</v>
      </c>
      <c r="J4" s="45">
        <f>SUMIFS(Senin!$H$7:$H$146,Senin!$C$7:$C$146,$B4,Senin!$A$7:$A$146,"&gt;="&amp;DATE(2026,12,1),Senin!$A$7:$A$146,"&lt;="&amp;DATE(2026,12,31))+SUMIFS(Selasa!$H$7:$H$166,Selasa!$C$7:$C$166,$B4,Selasa!$A$7:$A$166,"&gt;="&amp;DATE(2026,12,1),Selasa!$A$7:$A$166,"&lt;="&amp;DATE(2026,12,31))+SUMIFS(Rabu!$H$7:$H$206,Rabu!$C$7:$C$206,$B4,Rabu!$A$7:$A$206,"&gt;="&amp;DATE(2026,12,1),Rabu!$A$7:$A$206,"&lt;="&amp;DATE(2026,12,31))+SUMIFS(Kamis!$H$7:$H$186,Kamis!$C$7:$C$186,$B4,Kamis!$A$7:$A$186,"&gt;="&amp;DATE(2026,12,1),Kamis!$A$7:$A$186,"&lt;="&amp;DATE(2026,12,31))+SUMIFS(Jumat!$H$7:$H$186,Jumat!$C$7:$C$186,$B4,Jumat!$A$7:$A$186,"&gt;="&amp;DATE(2026,12,1),Jumat!$A$7:$A$186,"&lt;="&amp;DATE(2026,12,31))</f>
        <v>0</v>
      </c>
      <c r="K4" s="45">
        <f>SUMIFS(Senin!$H$7:$H$146,Senin!$C$7:$C$146,$B4,Senin!$A$7:$A$146,"&gt;="&amp;DATE(2026,8,31),Senin!$A$7:$A$146,"&lt;="&amp;DATE(2026,9,6))+SUMIFS(Selasa!$H$7:$H$166,Selasa!$C$7:$C$166,$B4,Selasa!$A$7:$A$166,"&gt;="&amp;DATE(2026,8,31),Selasa!$A$7:$A$166,"&lt;="&amp;DATE(2026,9,6))+SUMIFS(Rabu!$H$7:$H$206,Rabu!$C$7:$C$206,$B4,Rabu!$A$7:$A$206,"&gt;="&amp;DATE(2026,8,31),Rabu!$A$7:$A$206,"&lt;="&amp;DATE(2026,9,6))+SUMIFS(Kamis!$H$7:$H$186,Kamis!$C$7:$C$186,$B4,Kamis!$A$7:$A$186,"&gt;="&amp;DATE(2026,8,31),Kamis!$A$7:$A$186,"&lt;="&amp;DATE(2026,9,6))+SUMIFS(Jumat!$H$7:$H$186,Jumat!$C$7:$C$186,$B4,Jumat!$A$7:$A$186,"&gt;="&amp;DATE(2026,8,31),Jumat!$A$7:$A$186,"&lt;="&amp;DATE(2026,9,6))</f>
        <v>0</v>
      </c>
      <c r="L4" s="45">
        <f>SUMIFS(Senin!$H$7:$H$146,Senin!$C$7:$C$146,$B4,Senin!$A$7:$A$146,"&gt;="&amp;DATE(2026,9,7),Senin!$A$7:$A$146,"&lt;="&amp;DATE(2026,9,13))+SUMIFS(Selasa!$H$7:$H$166,Selasa!$C$7:$C$166,$B4,Selasa!$A$7:$A$166,"&gt;="&amp;DATE(2026,9,7),Selasa!$A$7:$A$166,"&lt;="&amp;DATE(2026,9,13))+SUMIFS(Rabu!$H$7:$H$206,Rabu!$C$7:$C$206,$B4,Rabu!$A$7:$A$206,"&gt;="&amp;DATE(2026,9,7),Rabu!$A$7:$A$206,"&lt;="&amp;DATE(2026,9,13))+SUMIFS(Kamis!$H$7:$H$186,Kamis!$C$7:$C$186,$B4,Kamis!$A$7:$A$186,"&gt;="&amp;DATE(2026,9,7),Kamis!$A$7:$A$186,"&lt;="&amp;DATE(2026,9,13))+SUMIFS(Jumat!$H$7:$H$186,Jumat!$C$7:$C$186,$B4,Jumat!$A$7:$A$186,"&gt;="&amp;DATE(2026,9,7),Jumat!$A$7:$A$186,"&lt;="&amp;DATE(2026,9,13))</f>
        <v>0</v>
      </c>
      <c r="M4" s="45">
        <f>SUMIFS(Senin!$H$7:$H$146,Senin!$C$7:$C$146,$B4,Senin!$A$7:$A$146,"&gt;="&amp;DATE(2026,9,14),Senin!$A$7:$A$146,"&lt;="&amp;DATE(2026,9,20))+SUMIFS(Selasa!$H$7:$H$166,Selasa!$C$7:$C$166,$B4,Selasa!$A$7:$A$166,"&gt;="&amp;DATE(2026,9,14),Selasa!$A$7:$A$166,"&lt;="&amp;DATE(2026,9,20))+SUMIFS(Rabu!$H$7:$H$206,Rabu!$C$7:$C$206,$B4,Rabu!$A$7:$A$206,"&gt;="&amp;DATE(2026,9,14),Rabu!$A$7:$A$206,"&lt;="&amp;DATE(2026,9,20))+SUMIFS(Kamis!$H$7:$H$186,Kamis!$C$7:$C$186,$B4,Kamis!$A$7:$A$186,"&gt;="&amp;DATE(2026,9,14),Kamis!$A$7:$A$186,"&lt;="&amp;DATE(2026,9,20))+SUMIFS(Jumat!$H$7:$H$186,Jumat!$C$7:$C$186,$B4,Jumat!$A$7:$A$186,"&gt;="&amp;DATE(2026,9,14),Jumat!$A$7:$A$186,"&lt;="&amp;DATE(2026,9,20))</f>
        <v>0</v>
      </c>
      <c r="N4" s="45">
        <f>SUMIFS(Senin!$H$7:$H$146,Senin!$C$7:$C$146,$B4,Senin!$A$7:$A$146,"&gt;="&amp;DATE(2026,9,21),Senin!$A$7:$A$146,"&lt;="&amp;DATE(2026,9,27))+SUMIFS(Selasa!$H$7:$H$166,Selasa!$C$7:$C$166,$B4,Selasa!$A$7:$A$166,"&gt;="&amp;DATE(2026,9,21),Selasa!$A$7:$A$166,"&lt;="&amp;DATE(2026,9,27))+SUMIFS(Rabu!$H$7:$H$206,Rabu!$C$7:$C$206,$B4,Rabu!$A$7:$A$206,"&gt;="&amp;DATE(2026,9,21),Rabu!$A$7:$A$206,"&lt;="&amp;DATE(2026,9,27))+SUMIFS(Kamis!$H$7:$H$186,Kamis!$C$7:$C$186,$B4,Kamis!$A$7:$A$186,"&gt;="&amp;DATE(2026,9,21),Kamis!$A$7:$A$186,"&lt;="&amp;DATE(2026,9,27))+SUMIFS(Jumat!$H$7:$H$186,Jumat!$C$7:$C$186,$B4,Jumat!$A$7:$A$186,"&gt;="&amp;DATE(2026,9,21),Jumat!$A$7:$A$186,"&lt;="&amp;DATE(2026,9,27))</f>
        <v>0</v>
      </c>
      <c r="O4" s="45">
        <f>SUMIFS(Senin!$H$7:$H$146,Senin!$C$7:$C$146,$B4,Senin!$A$7:$A$146,"&gt;="&amp;DATE(2026,9,28),Senin!$A$7:$A$146,"&lt;="&amp;DATE(2026,10,4))+SUMIFS(Selasa!$H$7:$H$166,Selasa!$C$7:$C$166,$B4,Selasa!$A$7:$A$166,"&gt;="&amp;DATE(2026,9,28),Selasa!$A$7:$A$166,"&lt;="&amp;DATE(2026,10,4))+SUMIFS(Rabu!$H$7:$H$206,Rabu!$C$7:$C$206,$B4,Rabu!$A$7:$A$206,"&gt;="&amp;DATE(2026,9,28),Rabu!$A$7:$A$206,"&lt;="&amp;DATE(2026,10,4))+SUMIFS(Kamis!$H$7:$H$186,Kamis!$C$7:$C$186,$B4,Kamis!$A$7:$A$186,"&gt;="&amp;DATE(2026,9,28),Kamis!$A$7:$A$186,"&lt;="&amp;DATE(2026,10,4))+SUMIFS(Jumat!$H$7:$H$186,Jumat!$C$7:$C$186,$B4,Jumat!$A$7:$A$186,"&gt;="&amp;DATE(2026,9,28),Jumat!$A$7:$A$186,"&lt;="&amp;DATE(2026,10,4))</f>
        <v>0</v>
      </c>
      <c r="P4" s="45">
        <f>SUMIFS(Senin!$H$7:$H$146,Senin!$C$7:$C$146,$B4,Senin!$A$7:$A$146,"&gt;="&amp;DATE(2026,10,5),Senin!$A$7:$A$146,"&lt;="&amp;DATE(2026,10,11))+SUMIFS(Selasa!$H$7:$H$166,Selasa!$C$7:$C$166,$B4,Selasa!$A$7:$A$166,"&gt;="&amp;DATE(2026,10,5),Selasa!$A$7:$A$166,"&lt;="&amp;DATE(2026,10,11))+SUMIFS(Rabu!$H$7:$H$206,Rabu!$C$7:$C$206,$B4,Rabu!$A$7:$A$206,"&gt;="&amp;DATE(2026,10,5),Rabu!$A$7:$A$206,"&lt;="&amp;DATE(2026,10,11))+SUMIFS(Kamis!$H$7:$H$186,Kamis!$C$7:$C$186,$B4,Kamis!$A$7:$A$186,"&gt;="&amp;DATE(2026,10,5),Kamis!$A$7:$A$186,"&lt;="&amp;DATE(2026,10,11))+SUMIFS(Jumat!$H$7:$H$186,Jumat!$C$7:$C$186,$B4,Jumat!$A$7:$A$186,"&gt;="&amp;DATE(2026,10,5),Jumat!$A$7:$A$186,"&lt;="&amp;DATE(2026,10,11))</f>
        <v>0</v>
      </c>
      <c r="Q4" s="45">
        <f>SUMIFS(Senin!$H$7:$H$146,Senin!$C$7:$C$146,$B4,Senin!$A$7:$A$146,"&gt;="&amp;DATE(2026,10,12),Senin!$A$7:$A$146,"&lt;="&amp;DATE(2026,10,18))+SUMIFS(Selasa!$H$7:$H$166,Selasa!$C$7:$C$166,$B4,Selasa!$A$7:$A$166,"&gt;="&amp;DATE(2026,10,12),Selasa!$A$7:$A$166,"&lt;="&amp;DATE(2026,10,18))+SUMIFS(Rabu!$H$7:$H$206,Rabu!$C$7:$C$206,$B4,Rabu!$A$7:$A$206,"&gt;="&amp;DATE(2026,10,12),Rabu!$A$7:$A$206,"&lt;="&amp;DATE(2026,10,18))+SUMIFS(Kamis!$H$7:$H$186,Kamis!$C$7:$C$186,$B4,Kamis!$A$7:$A$186,"&gt;="&amp;DATE(2026,10,12),Kamis!$A$7:$A$186,"&lt;="&amp;DATE(2026,10,18))+SUMIFS(Jumat!$H$7:$H$186,Jumat!$C$7:$C$186,$B4,Jumat!$A$7:$A$186,"&gt;="&amp;DATE(2026,10,12),Jumat!$A$7:$A$186,"&lt;="&amp;DATE(2026,10,18))</f>
        <v>0</v>
      </c>
      <c r="R4" s="45">
        <f>SUMIFS(Senin!$H$7:$H$146,Senin!$C$7:$C$146,$B4,Senin!$A$7:$A$146,"&gt;="&amp;DATE(2026,10,19),Senin!$A$7:$A$146,"&lt;="&amp;DATE(2026,10,25))+SUMIFS(Selasa!$H$7:$H$166,Selasa!$C$7:$C$166,$B4,Selasa!$A$7:$A$166,"&gt;="&amp;DATE(2026,10,19),Selasa!$A$7:$A$166,"&lt;="&amp;DATE(2026,10,25))+SUMIFS(Rabu!$H$7:$H$206,Rabu!$C$7:$C$206,$B4,Rabu!$A$7:$A$206,"&gt;="&amp;DATE(2026,10,19),Rabu!$A$7:$A$206,"&lt;="&amp;DATE(2026,10,25))+SUMIFS(Kamis!$H$7:$H$186,Kamis!$C$7:$C$186,$B4,Kamis!$A$7:$A$186,"&gt;="&amp;DATE(2026,10,19),Kamis!$A$7:$A$186,"&lt;="&amp;DATE(2026,10,25))+SUMIFS(Jumat!$H$7:$H$186,Jumat!$C$7:$C$186,$B4,Jumat!$A$7:$A$186,"&gt;="&amp;DATE(2026,10,19),Jumat!$A$7:$A$186,"&lt;="&amp;DATE(2026,10,25))</f>
        <v>0</v>
      </c>
      <c r="S4" s="45">
        <f>SUMIFS(Senin!$H$7:$H$146,Senin!$C$7:$C$146,$B4,Senin!$A$7:$A$146,"&gt;="&amp;DATE(2026,10,26),Senin!$A$7:$A$146,"&lt;="&amp;DATE(2026,11,1))+SUMIFS(Selasa!$H$7:$H$166,Selasa!$C$7:$C$166,$B4,Selasa!$A$7:$A$166,"&gt;="&amp;DATE(2026,10,26),Selasa!$A$7:$A$166,"&lt;="&amp;DATE(2026,11,1))+SUMIFS(Rabu!$H$7:$H$206,Rabu!$C$7:$C$206,$B4,Rabu!$A$7:$A$206,"&gt;="&amp;DATE(2026,10,26),Rabu!$A$7:$A$206,"&lt;="&amp;DATE(2026,11,1))+SUMIFS(Kamis!$H$7:$H$186,Kamis!$C$7:$C$186,$B4,Kamis!$A$7:$A$186,"&gt;="&amp;DATE(2026,10,26),Kamis!$A$7:$A$186,"&lt;="&amp;DATE(2026,11,1))+SUMIFS(Jumat!$H$7:$H$186,Jumat!$C$7:$C$186,$B4,Jumat!$A$7:$A$186,"&gt;="&amp;DATE(2026,10,26),Jumat!$A$7:$A$186,"&lt;="&amp;DATE(2026,11,1))</f>
        <v>0</v>
      </c>
      <c r="T4" s="45">
        <f>SUMIFS(Senin!$H$7:$H$146,Senin!$C$7:$C$146,$B4,Senin!$A$7:$A$146,"&gt;="&amp;DATE(2026,11,2),Senin!$A$7:$A$146,"&lt;="&amp;DATE(2026,11,8))+SUMIFS(Selasa!$H$7:$H$166,Selasa!$C$7:$C$166,$B4,Selasa!$A$7:$A$166,"&gt;="&amp;DATE(2026,11,2),Selasa!$A$7:$A$166,"&lt;="&amp;DATE(2026,11,8))+SUMIFS(Rabu!$H$7:$H$206,Rabu!$C$7:$C$206,$B4,Rabu!$A$7:$A$206,"&gt;="&amp;DATE(2026,11,2),Rabu!$A$7:$A$206,"&lt;="&amp;DATE(2026,11,8))+SUMIFS(Kamis!$H$7:$H$186,Kamis!$C$7:$C$186,$B4,Kamis!$A$7:$A$186,"&gt;="&amp;DATE(2026,11,2),Kamis!$A$7:$A$186,"&lt;="&amp;DATE(2026,11,8))+SUMIFS(Jumat!$H$7:$H$186,Jumat!$C$7:$C$186,$B4,Jumat!$A$7:$A$186,"&gt;="&amp;DATE(2026,11,2),Jumat!$A$7:$A$186,"&lt;="&amp;DATE(2026,11,8))</f>
        <v>0</v>
      </c>
      <c r="U4" s="45">
        <f>SUMIFS(Senin!$H$7:$H$146,Senin!$C$7:$C$146,$B4,Senin!$A$7:$A$146,"&gt;="&amp;DATE(2026,11,9),Senin!$A$7:$A$146,"&lt;="&amp;DATE(2026,11,15))+SUMIFS(Selasa!$H$7:$H$166,Selasa!$C$7:$C$166,$B4,Selasa!$A$7:$A$166,"&gt;="&amp;DATE(2026,11,9),Selasa!$A$7:$A$166,"&lt;="&amp;DATE(2026,11,15))+SUMIFS(Rabu!$H$7:$H$206,Rabu!$C$7:$C$206,$B4,Rabu!$A$7:$A$206,"&gt;="&amp;DATE(2026,11,9),Rabu!$A$7:$A$206,"&lt;="&amp;DATE(2026,11,15))+SUMIFS(Kamis!$H$7:$H$186,Kamis!$C$7:$C$186,$B4,Kamis!$A$7:$A$186,"&gt;="&amp;DATE(2026,11,9),Kamis!$A$7:$A$186,"&lt;="&amp;DATE(2026,11,15))+SUMIFS(Jumat!$H$7:$H$186,Jumat!$C$7:$C$186,$B4,Jumat!$A$7:$A$186,"&gt;="&amp;DATE(2026,11,9),Jumat!$A$7:$A$186,"&lt;="&amp;DATE(2026,11,15))</f>
        <v>0</v>
      </c>
      <c r="V4" s="45">
        <f>SUMIFS(Senin!$H$7:$H$146,Senin!$C$7:$C$146,$B4,Senin!$A$7:$A$146,"&gt;="&amp;DATE(2026,11,16),Senin!$A$7:$A$146,"&lt;="&amp;DATE(2026,11,22))+SUMIFS(Selasa!$H$7:$H$166,Selasa!$C$7:$C$166,$B4,Selasa!$A$7:$A$166,"&gt;="&amp;DATE(2026,11,16),Selasa!$A$7:$A$166,"&lt;="&amp;DATE(2026,11,22))+SUMIFS(Rabu!$H$7:$H$206,Rabu!$C$7:$C$206,$B4,Rabu!$A$7:$A$206,"&gt;="&amp;DATE(2026,11,16),Rabu!$A$7:$A$206,"&lt;="&amp;DATE(2026,11,22))+SUMIFS(Kamis!$H$7:$H$186,Kamis!$C$7:$C$186,$B4,Kamis!$A$7:$A$186,"&gt;="&amp;DATE(2026,11,16),Kamis!$A$7:$A$186,"&lt;="&amp;DATE(2026,11,22))+SUMIFS(Jumat!$H$7:$H$186,Jumat!$C$7:$C$186,$B4,Jumat!$A$7:$A$186,"&gt;="&amp;DATE(2026,11,16),Jumat!$A$7:$A$186,"&lt;="&amp;DATE(2026,11,22))</f>
        <v>0</v>
      </c>
      <c r="W4" s="45">
        <f>SUMIFS(Senin!$H$7:$H$146,Senin!$C$7:$C$146,$B4,Senin!$A$7:$A$146,"&gt;="&amp;DATE(2026,11,23),Senin!$A$7:$A$146,"&lt;="&amp;DATE(2026,11,29))+SUMIFS(Selasa!$H$7:$H$166,Selasa!$C$7:$C$166,$B4,Selasa!$A$7:$A$166,"&gt;="&amp;DATE(2026,11,23),Selasa!$A$7:$A$166,"&lt;="&amp;DATE(2026,11,29))+SUMIFS(Rabu!$H$7:$H$206,Rabu!$C$7:$C$206,$B4,Rabu!$A$7:$A$206,"&gt;="&amp;DATE(2026,11,23),Rabu!$A$7:$A$206,"&lt;="&amp;DATE(2026,11,29))+SUMIFS(Kamis!$H$7:$H$186,Kamis!$C$7:$C$186,$B4,Kamis!$A$7:$A$186,"&gt;="&amp;DATE(2026,11,23),Kamis!$A$7:$A$186,"&lt;="&amp;DATE(2026,11,29))+SUMIFS(Jumat!$H$7:$H$186,Jumat!$C$7:$C$186,$B4,Jumat!$A$7:$A$186,"&gt;="&amp;DATE(2026,11,23),Jumat!$A$7:$A$186,"&lt;="&amp;DATE(2026,11,29))</f>
        <v>0</v>
      </c>
      <c r="X4" s="45">
        <f>SUMIFS(Senin!$H$7:$H$146,Senin!$C$7:$C$146,$B4,Senin!$A$7:$A$146,"&gt;="&amp;DATE(2026,11,30),Senin!$A$7:$A$146,"&lt;="&amp;DATE(2026,12,6))+SUMIFS(Selasa!$H$7:$H$166,Selasa!$C$7:$C$166,$B4,Selasa!$A$7:$A$166,"&gt;="&amp;DATE(2026,11,30),Selasa!$A$7:$A$166,"&lt;="&amp;DATE(2026,12,6))+SUMIFS(Rabu!$H$7:$H$206,Rabu!$C$7:$C$206,$B4,Rabu!$A$7:$A$206,"&gt;="&amp;DATE(2026,11,30),Rabu!$A$7:$A$206,"&lt;="&amp;DATE(2026,12,6))+SUMIFS(Kamis!$H$7:$H$186,Kamis!$C$7:$C$186,$B4,Kamis!$A$7:$A$186,"&gt;="&amp;DATE(2026,11,30),Kamis!$A$7:$A$186,"&lt;="&amp;DATE(2026,12,6))+SUMIFS(Jumat!$H$7:$H$186,Jumat!$C$7:$C$186,$B4,Jumat!$A$7:$A$186,"&gt;="&amp;DATE(2026,11,30),Jumat!$A$7:$A$186,"&lt;="&amp;DATE(2026,12,6))</f>
        <v>0</v>
      </c>
      <c r="Y4" s="45">
        <f>SUMIFS(Senin!$H$7:$H$146,Senin!$C$7:$C$146,$B4,Senin!$A$7:$A$146,"&gt;="&amp;DATE(2026,12,7),Senin!$A$7:$A$146,"&lt;="&amp;DATE(2026,12,13))+SUMIFS(Selasa!$H$7:$H$166,Selasa!$C$7:$C$166,$B4,Selasa!$A$7:$A$166,"&gt;="&amp;DATE(2026,12,7),Selasa!$A$7:$A$166,"&lt;="&amp;DATE(2026,12,13))+SUMIFS(Rabu!$H$7:$H$206,Rabu!$C$7:$C$206,$B4,Rabu!$A$7:$A$206,"&gt;="&amp;DATE(2026,12,7),Rabu!$A$7:$A$206,"&lt;="&amp;DATE(2026,12,13))+SUMIFS(Kamis!$H$7:$H$186,Kamis!$C$7:$C$186,$B4,Kamis!$A$7:$A$186,"&gt;="&amp;DATE(2026,12,7),Kamis!$A$7:$A$186,"&lt;="&amp;DATE(2026,12,13))+SUMIFS(Jumat!$H$7:$H$186,Jumat!$C$7:$C$186,$B4,Jumat!$A$7:$A$186,"&gt;="&amp;DATE(2026,12,7),Jumat!$A$7:$A$186,"&lt;="&amp;DATE(2026,12,13))</f>
        <v>0</v>
      </c>
      <c r="Z4" s="45">
        <f>SUMIFS(Senin!$H$7:$H$146,Senin!$C$7:$C$146,$B4,Senin!$A$7:$A$146,"&gt;="&amp;DATE(2026,12,14),Senin!$A$7:$A$146,"&lt;="&amp;DATE(2026,12,20))+SUMIFS(Selasa!$H$7:$H$166,Selasa!$C$7:$C$166,$B4,Selasa!$A$7:$A$166,"&gt;="&amp;DATE(2026,12,14),Selasa!$A$7:$A$166,"&lt;="&amp;DATE(2026,12,20))+SUMIFS(Rabu!$H$7:$H$206,Rabu!$C$7:$C$206,$B4,Rabu!$A$7:$A$206,"&gt;="&amp;DATE(2026,12,14),Rabu!$A$7:$A$206,"&lt;="&amp;DATE(2026,12,20))+SUMIFS(Kamis!$H$7:$H$186,Kamis!$C$7:$C$186,$B4,Kamis!$A$7:$A$186,"&gt;="&amp;DATE(2026,12,14),Kamis!$A$7:$A$186,"&lt;="&amp;DATE(2026,12,20))+SUMIFS(Jumat!$H$7:$H$186,Jumat!$C$7:$C$186,$B4,Jumat!$A$7:$A$186,"&gt;="&amp;DATE(2026,12,14),Jumat!$A$7:$A$186,"&lt;="&amp;DATE(2026,12,20))</f>
        <v>0</v>
      </c>
      <c r="AA4" s="45">
        <f>SUMIFS(Senin!$H$7:$H$146,Senin!$C$7:$C$146,$B4,Senin!$A$7:$A$146,"&gt;="&amp;DATE(2026,12,21),Senin!$A$7:$A$146,"&lt;="&amp;DATE(2026,12,27))+SUMIFS(Selasa!$H$7:$H$166,Selasa!$C$7:$C$166,$B4,Selasa!$A$7:$A$166,"&gt;="&amp;DATE(2026,12,21),Selasa!$A$7:$A$166,"&lt;="&amp;DATE(2026,12,27))+SUMIFS(Rabu!$H$7:$H$206,Rabu!$C$7:$C$206,$B4,Rabu!$A$7:$A$206,"&gt;="&amp;DATE(2026,12,21),Rabu!$A$7:$A$206,"&lt;="&amp;DATE(2026,12,27))+SUMIFS(Kamis!$H$7:$H$186,Kamis!$C$7:$C$186,$B4,Kamis!$A$7:$A$186,"&gt;="&amp;DATE(2026,12,21),Kamis!$A$7:$A$186,"&lt;="&amp;DATE(2026,12,27))+SUMIFS(Jumat!$H$7:$H$186,Jumat!$C$7:$C$186,$B4,Jumat!$A$7:$A$186,"&gt;="&amp;DATE(2026,12,21),Jumat!$A$7:$A$186,"&lt;="&amp;DATE(2026,12,27))</f>
        <v>0</v>
      </c>
      <c r="AB4" s="45">
        <f>SUMIFS(Senin!$H$7:$H$146,Senin!$C$7:$C$146,$B4,Senin!$A$7:$A$146,"&gt;="&amp;DATE(2026,12,28),Senin!$A$7:$A$146,"&lt;="&amp;DATE(2027,1,3))+SUMIFS(Selasa!$H$7:$H$166,Selasa!$C$7:$C$166,$B4,Selasa!$A$7:$A$166,"&gt;="&amp;DATE(2026,12,28),Selasa!$A$7:$A$166,"&lt;="&amp;DATE(2027,1,3))+SUMIFS(Rabu!$H$7:$H$206,Rabu!$C$7:$C$206,$B4,Rabu!$A$7:$A$206,"&gt;="&amp;DATE(2026,12,28),Rabu!$A$7:$A$206,"&lt;="&amp;DATE(2027,1,3))+SUMIFS(Kamis!$H$7:$H$186,Kamis!$C$7:$C$186,$B4,Kamis!$A$7:$A$186,"&gt;="&amp;DATE(2026,12,28),Kamis!$A$7:$A$186,"&lt;="&amp;DATE(2027,1,3))+SUMIFS(Jumat!$H$7:$H$186,Jumat!$C$7:$C$186,$B4,Jumat!$A$7:$A$186,"&gt;="&amp;DATE(2026,12,28),Jumat!$A$7:$A$186,"&lt;="&amp;DATE(2027,1,3))</f>
        <v>0</v>
      </c>
      <c r="AC4" s="45">
        <f>SUMIFS(Senin!$H$7:$H$146,Senin!$C$7:$C$146,$B4,Senin!$A$7:$A$146,"&gt;="&amp;DATE(2027,1,4),Senin!$A$7:$A$146,"&lt;="&amp;DATE(2027,1,10))+SUMIFS(Selasa!$H$7:$H$166,Selasa!$C$7:$C$166,$B4,Selasa!$A$7:$A$166,"&gt;="&amp;DATE(2027,1,4),Selasa!$A$7:$A$166,"&lt;="&amp;DATE(2027,1,10))+SUMIFS(Rabu!$H$7:$H$206,Rabu!$C$7:$C$206,$B4,Rabu!$A$7:$A$206,"&gt;="&amp;DATE(2027,1,4),Rabu!$A$7:$A$206,"&lt;="&amp;DATE(2027,1,10))+SUMIFS(Kamis!$H$7:$H$186,Kamis!$C$7:$C$186,$B4,Kamis!$A$7:$A$186,"&gt;="&amp;DATE(2027,1,4),Kamis!$A$7:$A$186,"&lt;="&amp;DATE(2027,1,10))+SUMIFS(Jumat!$H$7:$H$186,Jumat!$C$7:$C$186,$B4,Jumat!$A$7:$A$186,"&gt;="&amp;DATE(2027,1,4),Jumat!$A$7:$A$186,"&lt;="&amp;DATE(2027,1,10))</f>
        <v>0</v>
      </c>
      <c r="AD4" s="45">
        <f>SUMIFS(Senin!$H$7:$H$146,Senin!$C$7:$C$146,$B4,Senin!$A$7:$A$146,"&gt;="&amp;DATE(2027,1,11),Senin!$A$7:$A$146,"&lt;="&amp;DATE(2027,1,17))+SUMIFS(Selasa!$H$7:$H$166,Selasa!$C$7:$C$166,$B4,Selasa!$A$7:$A$166,"&gt;="&amp;DATE(2027,1,11),Selasa!$A$7:$A$166,"&lt;="&amp;DATE(2027,1,17))+SUMIFS(Rabu!$H$7:$H$206,Rabu!$C$7:$C$206,$B4,Rabu!$A$7:$A$206,"&gt;="&amp;DATE(2027,1,11),Rabu!$A$7:$A$206,"&lt;="&amp;DATE(2027,1,17))+SUMIFS(Kamis!$H$7:$H$186,Kamis!$C$7:$C$186,$B4,Kamis!$A$7:$A$186,"&gt;="&amp;DATE(2027,1,11),Kamis!$A$7:$A$186,"&lt;="&amp;DATE(2027,1,17))+SUMIFS(Jumat!$H$7:$H$186,Jumat!$C$7:$C$186,$B4,Jumat!$A$7:$A$186,"&gt;="&amp;DATE(2027,1,11),Jumat!$A$7:$A$186,"&lt;="&amp;DATE(2027,1,17))</f>
        <v>0</v>
      </c>
    </row>
    <row r="5" ht="14.25" customHeight="1">
      <c r="A5" s="27">
        <v>2.0</v>
      </c>
      <c r="B5" s="28" t="s">
        <v>13</v>
      </c>
      <c r="C5" s="41">
        <f>COUNTIFS(Senin!$C$7:$C$146,$B5,Senin!$G$7:$G$146,"Ya",Senin!$E$7:$E$146,"&lt;&gt;")+COUNTIFS(Selasa!$C$7:$C$166,$B5,Selasa!$G$7:$G$166,"Ya",Selasa!$E$7:$E$166,"&lt;&gt;")+COUNTIFS(Rabu!$C$7:$C$206,$B5,Rabu!$G$7:$G$206,"Ya",Rabu!$E$7:$E$206,"&lt;&gt;")+COUNTIFS(Kamis!$C$7:$C$186,$B5,Kamis!$G$7:$G$186,"Ya",Kamis!$E$7:$E$186,"&lt;&gt;")+COUNTIFS(Jumat!$C$7:$C$186,$B5,Jumat!$G$7:$G$186,"Ya",Jumat!$E$7:$E$186,"&lt;&gt;")</f>
        <v>0</v>
      </c>
      <c r="D5" s="41">
        <f>COUNTIFS(Senin!$C$7:$C$146,$B5,Senin!$G$7:$G$146,"Ya",Senin!$E$7:$E$146,"")+COUNTIFS(Selasa!$C$7:$C$166,$B5,Selasa!$G$7:$G$166,"Ya",Selasa!$E$7:$E$166,"")+COUNTIFS(Rabu!$C$7:$C$206,$B5,Rabu!$G$7:$G$206,"Ya",Rabu!$E$7:$E$206,"")+COUNTIFS(Kamis!$C$7:$C$186,$B5,Kamis!$G$7:$G$186,"Ya",Kamis!$E$7:$E$186,"")+COUNTIFS(Jumat!$C$7:$C$186,$B5,Jumat!$G$7:$G$186,"Ya",Jumat!$E$7:$E$186,"")</f>
        <v>0</v>
      </c>
      <c r="E5" s="45">
        <f>SUMIFS(Senin!$H$7:$H$146,Senin!$C$7:$C$146,$B5,Senin!$A$7:$A$146,"&gt;="&amp;DATE(2026,8,1),Senin!$A$7:$A$146,"&lt;="&amp;DATE(2026,12,31))+SUMIFS(Selasa!$H$7:$H$166,Selasa!$C$7:$C$166,$B5,Selasa!$A$7:$A$166,"&gt;="&amp;DATE(2026,8,1),Selasa!$A$7:$A$166,"&lt;="&amp;DATE(2026,12,31))+SUMIFS(Rabu!$H$7:$H$206,Rabu!$C$7:$C$206,$B5,Rabu!$A$7:$A$206,"&gt;="&amp;DATE(2026,8,1),Rabu!$A$7:$A$206,"&lt;="&amp;DATE(2026,12,31))+SUMIFS(Kamis!$H$7:$H$186,Kamis!$C$7:$C$186,$B5,Kamis!$A$7:$A$186,"&gt;="&amp;DATE(2026,8,1),Kamis!$A$7:$A$186,"&lt;="&amp;DATE(2026,12,31))+SUMIFS(Jumat!$H$7:$H$186,Jumat!$C$7:$C$186,$B5,Jumat!$A$7:$A$186,"&gt;="&amp;DATE(2026,8,1),Jumat!$A$7:$A$186,"&lt;="&amp;DATE(2026,12,31))</f>
        <v>0</v>
      </c>
      <c r="F5" s="45">
        <f>SUMIFS(Senin!$H$7:$H$146,Senin!$C$7:$C$146,$B5,Senin!$A$7:$A$146,"&gt;="&amp;DATE(2026,8,1),Senin!$A$7:$A$146,"&lt;="&amp;DATE(2026,8,31))+SUMIFS(Selasa!$H$7:$H$166,Selasa!$C$7:$C$166,$B5,Selasa!$A$7:$A$166,"&gt;="&amp;DATE(2026,8,1),Selasa!$A$7:$A$166,"&lt;="&amp;DATE(2026,8,31))+SUMIFS(Rabu!$H$7:$H$206,Rabu!$C$7:$C$206,$B5,Rabu!$A$7:$A$206,"&gt;="&amp;DATE(2026,8,1),Rabu!$A$7:$A$206,"&lt;="&amp;DATE(2026,8,31))+SUMIFS(Kamis!$H$7:$H$186,Kamis!$C$7:$C$186,$B5,Kamis!$A$7:$A$186,"&gt;="&amp;DATE(2026,8,1),Kamis!$A$7:$A$186,"&lt;="&amp;DATE(2026,8,31))+SUMIFS(Jumat!$H$7:$H$186,Jumat!$C$7:$C$186,$B5,Jumat!$A$7:$A$186,"&gt;="&amp;DATE(2026,8,1),Jumat!$A$7:$A$186,"&lt;="&amp;DATE(2026,8,31))</f>
        <v>0</v>
      </c>
      <c r="G5" s="45">
        <f>SUMIFS(Senin!$H$7:$H$146,Senin!$C$7:$C$146,$B5,Senin!$A$7:$A$146,"&gt;="&amp;DATE(2026,9,1),Senin!$A$7:$A$146,"&lt;="&amp;DATE(2026,9,30))+SUMIFS(Selasa!$H$7:$H$166,Selasa!$C$7:$C$166,$B5,Selasa!$A$7:$A$166,"&gt;="&amp;DATE(2026,9,1),Selasa!$A$7:$A$166,"&lt;="&amp;DATE(2026,9,30))+SUMIFS(Rabu!$H$7:$H$206,Rabu!$C$7:$C$206,$B5,Rabu!$A$7:$A$206,"&gt;="&amp;DATE(2026,9,1),Rabu!$A$7:$A$206,"&lt;="&amp;DATE(2026,9,30))+SUMIFS(Kamis!$H$7:$H$186,Kamis!$C$7:$C$186,$B5,Kamis!$A$7:$A$186,"&gt;="&amp;DATE(2026,9,1),Kamis!$A$7:$A$186,"&lt;="&amp;DATE(2026,9,30))+SUMIFS(Jumat!$H$7:$H$186,Jumat!$C$7:$C$186,$B5,Jumat!$A$7:$A$186,"&gt;="&amp;DATE(2026,9,1),Jumat!$A$7:$A$186,"&lt;="&amp;DATE(2026,9,30))</f>
        <v>0</v>
      </c>
      <c r="H5" s="45">
        <f>SUMIFS(Senin!$H$7:$H$146,Senin!$C$7:$C$146,$B5,Senin!$A$7:$A$146,"&gt;="&amp;DATE(2026,10,1),Senin!$A$7:$A$146,"&lt;="&amp;DATE(2026,10,31))+SUMIFS(Selasa!$H$7:$H$166,Selasa!$C$7:$C$166,$B5,Selasa!$A$7:$A$166,"&gt;="&amp;DATE(2026,10,1),Selasa!$A$7:$A$166,"&lt;="&amp;DATE(2026,10,31))+SUMIFS(Rabu!$H$7:$H$206,Rabu!$C$7:$C$206,$B5,Rabu!$A$7:$A$206,"&gt;="&amp;DATE(2026,10,1),Rabu!$A$7:$A$206,"&lt;="&amp;DATE(2026,10,31))+SUMIFS(Kamis!$H$7:$H$186,Kamis!$C$7:$C$186,$B5,Kamis!$A$7:$A$186,"&gt;="&amp;DATE(2026,10,1),Kamis!$A$7:$A$186,"&lt;="&amp;DATE(2026,10,31))+SUMIFS(Jumat!$H$7:$H$186,Jumat!$C$7:$C$186,$B5,Jumat!$A$7:$A$186,"&gt;="&amp;DATE(2026,10,1),Jumat!$A$7:$A$186,"&lt;="&amp;DATE(2026,10,31))</f>
        <v>0</v>
      </c>
      <c r="I5" s="45">
        <f>SUMIFS(Senin!$H$7:$H$146,Senin!$C$7:$C$146,$B5,Senin!$A$7:$A$146,"&gt;="&amp;DATE(2026,11,1),Senin!$A$7:$A$146,"&lt;="&amp;DATE(2026,11,30))+SUMIFS(Selasa!$H$7:$H$166,Selasa!$C$7:$C$166,$B5,Selasa!$A$7:$A$166,"&gt;="&amp;DATE(2026,11,1),Selasa!$A$7:$A$166,"&lt;="&amp;DATE(2026,11,30))+SUMIFS(Rabu!$H$7:$H$206,Rabu!$C$7:$C$206,$B5,Rabu!$A$7:$A$206,"&gt;="&amp;DATE(2026,11,1),Rabu!$A$7:$A$206,"&lt;="&amp;DATE(2026,11,30))+SUMIFS(Kamis!$H$7:$H$186,Kamis!$C$7:$C$186,$B5,Kamis!$A$7:$A$186,"&gt;="&amp;DATE(2026,11,1),Kamis!$A$7:$A$186,"&lt;="&amp;DATE(2026,11,30))+SUMIFS(Jumat!$H$7:$H$186,Jumat!$C$7:$C$186,$B5,Jumat!$A$7:$A$186,"&gt;="&amp;DATE(2026,11,1),Jumat!$A$7:$A$186,"&lt;="&amp;DATE(2026,11,30))</f>
        <v>0</v>
      </c>
      <c r="J5" s="45">
        <f>SUMIFS(Senin!$H$7:$H$146,Senin!$C$7:$C$146,$B5,Senin!$A$7:$A$146,"&gt;="&amp;DATE(2026,12,1),Senin!$A$7:$A$146,"&lt;="&amp;DATE(2026,12,31))+SUMIFS(Selasa!$H$7:$H$166,Selasa!$C$7:$C$166,$B5,Selasa!$A$7:$A$166,"&gt;="&amp;DATE(2026,12,1),Selasa!$A$7:$A$166,"&lt;="&amp;DATE(2026,12,31))+SUMIFS(Rabu!$H$7:$H$206,Rabu!$C$7:$C$206,$B5,Rabu!$A$7:$A$206,"&gt;="&amp;DATE(2026,12,1),Rabu!$A$7:$A$206,"&lt;="&amp;DATE(2026,12,31))+SUMIFS(Kamis!$H$7:$H$186,Kamis!$C$7:$C$186,$B5,Kamis!$A$7:$A$186,"&gt;="&amp;DATE(2026,12,1),Kamis!$A$7:$A$186,"&lt;="&amp;DATE(2026,12,31))+SUMIFS(Jumat!$H$7:$H$186,Jumat!$C$7:$C$186,$B5,Jumat!$A$7:$A$186,"&gt;="&amp;DATE(2026,12,1),Jumat!$A$7:$A$186,"&lt;="&amp;DATE(2026,12,31))</f>
        <v>0</v>
      </c>
      <c r="K5" s="45">
        <f>SUMIFS(Senin!$H$7:$H$146,Senin!$C$7:$C$146,$B5,Senin!$A$7:$A$146,"&gt;="&amp;DATE(2026,8,31),Senin!$A$7:$A$146,"&lt;="&amp;DATE(2026,9,6))+SUMIFS(Selasa!$H$7:$H$166,Selasa!$C$7:$C$166,$B5,Selasa!$A$7:$A$166,"&gt;="&amp;DATE(2026,8,31),Selasa!$A$7:$A$166,"&lt;="&amp;DATE(2026,9,6))+SUMIFS(Rabu!$H$7:$H$206,Rabu!$C$7:$C$206,$B5,Rabu!$A$7:$A$206,"&gt;="&amp;DATE(2026,8,31),Rabu!$A$7:$A$206,"&lt;="&amp;DATE(2026,9,6))+SUMIFS(Kamis!$H$7:$H$186,Kamis!$C$7:$C$186,$B5,Kamis!$A$7:$A$186,"&gt;="&amp;DATE(2026,8,31),Kamis!$A$7:$A$186,"&lt;="&amp;DATE(2026,9,6))+SUMIFS(Jumat!$H$7:$H$186,Jumat!$C$7:$C$186,$B5,Jumat!$A$7:$A$186,"&gt;="&amp;DATE(2026,8,31),Jumat!$A$7:$A$186,"&lt;="&amp;DATE(2026,9,6))</f>
        <v>0</v>
      </c>
      <c r="L5" s="45">
        <f>SUMIFS(Senin!$H$7:$H$146,Senin!$C$7:$C$146,$B5,Senin!$A$7:$A$146,"&gt;="&amp;DATE(2026,9,7),Senin!$A$7:$A$146,"&lt;="&amp;DATE(2026,9,13))+SUMIFS(Selasa!$H$7:$H$166,Selasa!$C$7:$C$166,$B5,Selasa!$A$7:$A$166,"&gt;="&amp;DATE(2026,9,7),Selasa!$A$7:$A$166,"&lt;="&amp;DATE(2026,9,13))+SUMIFS(Rabu!$H$7:$H$206,Rabu!$C$7:$C$206,$B5,Rabu!$A$7:$A$206,"&gt;="&amp;DATE(2026,9,7),Rabu!$A$7:$A$206,"&lt;="&amp;DATE(2026,9,13))+SUMIFS(Kamis!$H$7:$H$186,Kamis!$C$7:$C$186,$B5,Kamis!$A$7:$A$186,"&gt;="&amp;DATE(2026,9,7),Kamis!$A$7:$A$186,"&lt;="&amp;DATE(2026,9,13))+SUMIFS(Jumat!$H$7:$H$186,Jumat!$C$7:$C$186,$B5,Jumat!$A$7:$A$186,"&gt;="&amp;DATE(2026,9,7),Jumat!$A$7:$A$186,"&lt;="&amp;DATE(2026,9,13))</f>
        <v>0</v>
      </c>
      <c r="M5" s="45">
        <f>SUMIFS(Senin!$H$7:$H$146,Senin!$C$7:$C$146,$B5,Senin!$A$7:$A$146,"&gt;="&amp;DATE(2026,9,14),Senin!$A$7:$A$146,"&lt;="&amp;DATE(2026,9,20))+SUMIFS(Selasa!$H$7:$H$166,Selasa!$C$7:$C$166,$B5,Selasa!$A$7:$A$166,"&gt;="&amp;DATE(2026,9,14),Selasa!$A$7:$A$166,"&lt;="&amp;DATE(2026,9,20))+SUMIFS(Rabu!$H$7:$H$206,Rabu!$C$7:$C$206,$B5,Rabu!$A$7:$A$206,"&gt;="&amp;DATE(2026,9,14),Rabu!$A$7:$A$206,"&lt;="&amp;DATE(2026,9,20))+SUMIFS(Kamis!$H$7:$H$186,Kamis!$C$7:$C$186,$B5,Kamis!$A$7:$A$186,"&gt;="&amp;DATE(2026,9,14),Kamis!$A$7:$A$186,"&lt;="&amp;DATE(2026,9,20))+SUMIFS(Jumat!$H$7:$H$186,Jumat!$C$7:$C$186,$B5,Jumat!$A$7:$A$186,"&gt;="&amp;DATE(2026,9,14),Jumat!$A$7:$A$186,"&lt;="&amp;DATE(2026,9,20))</f>
        <v>0</v>
      </c>
      <c r="N5" s="45">
        <f>SUMIFS(Senin!$H$7:$H$146,Senin!$C$7:$C$146,$B5,Senin!$A$7:$A$146,"&gt;="&amp;DATE(2026,9,21),Senin!$A$7:$A$146,"&lt;="&amp;DATE(2026,9,27))+SUMIFS(Selasa!$H$7:$H$166,Selasa!$C$7:$C$166,$B5,Selasa!$A$7:$A$166,"&gt;="&amp;DATE(2026,9,21),Selasa!$A$7:$A$166,"&lt;="&amp;DATE(2026,9,27))+SUMIFS(Rabu!$H$7:$H$206,Rabu!$C$7:$C$206,$B5,Rabu!$A$7:$A$206,"&gt;="&amp;DATE(2026,9,21),Rabu!$A$7:$A$206,"&lt;="&amp;DATE(2026,9,27))+SUMIFS(Kamis!$H$7:$H$186,Kamis!$C$7:$C$186,$B5,Kamis!$A$7:$A$186,"&gt;="&amp;DATE(2026,9,21),Kamis!$A$7:$A$186,"&lt;="&amp;DATE(2026,9,27))+SUMIFS(Jumat!$H$7:$H$186,Jumat!$C$7:$C$186,$B5,Jumat!$A$7:$A$186,"&gt;="&amp;DATE(2026,9,21),Jumat!$A$7:$A$186,"&lt;="&amp;DATE(2026,9,27))</f>
        <v>0</v>
      </c>
      <c r="O5" s="45">
        <f>SUMIFS(Senin!$H$7:$H$146,Senin!$C$7:$C$146,$B5,Senin!$A$7:$A$146,"&gt;="&amp;DATE(2026,9,28),Senin!$A$7:$A$146,"&lt;="&amp;DATE(2026,10,4))+SUMIFS(Selasa!$H$7:$H$166,Selasa!$C$7:$C$166,$B5,Selasa!$A$7:$A$166,"&gt;="&amp;DATE(2026,9,28),Selasa!$A$7:$A$166,"&lt;="&amp;DATE(2026,10,4))+SUMIFS(Rabu!$H$7:$H$206,Rabu!$C$7:$C$206,$B5,Rabu!$A$7:$A$206,"&gt;="&amp;DATE(2026,9,28),Rabu!$A$7:$A$206,"&lt;="&amp;DATE(2026,10,4))+SUMIFS(Kamis!$H$7:$H$186,Kamis!$C$7:$C$186,$B5,Kamis!$A$7:$A$186,"&gt;="&amp;DATE(2026,9,28),Kamis!$A$7:$A$186,"&lt;="&amp;DATE(2026,10,4))+SUMIFS(Jumat!$H$7:$H$186,Jumat!$C$7:$C$186,$B5,Jumat!$A$7:$A$186,"&gt;="&amp;DATE(2026,9,28),Jumat!$A$7:$A$186,"&lt;="&amp;DATE(2026,10,4))</f>
        <v>0</v>
      </c>
      <c r="P5" s="45">
        <f>SUMIFS(Senin!$H$7:$H$146,Senin!$C$7:$C$146,$B5,Senin!$A$7:$A$146,"&gt;="&amp;DATE(2026,10,5),Senin!$A$7:$A$146,"&lt;="&amp;DATE(2026,10,11))+SUMIFS(Selasa!$H$7:$H$166,Selasa!$C$7:$C$166,$B5,Selasa!$A$7:$A$166,"&gt;="&amp;DATE(2026,10,5),Selasa!$A$7:$A$166,"&lt;="&amp;DATE(2026,10,11))+SUMIFS(Rabu!$H$7:$H$206,Rabu!$C$7:$C$206,$B5,Rabu!$A$7:$A$206,"&gt;="&amp;DATE(2026,10,5),Rabu!$A$7:$A$206,"&lt;="&amp;DATE(2026,10,11))+SUMIFS(Kamis!$H$7:$H$186,Kamis!$C$7:$C$186,$B5,Kamis!$A$7:$A$186,"&gt;="&amp;DATE(2026,10,5),Kamis!$A$7:$A$186,"&lt;="&amp;DATE(2026,10,11))+SUMIFS(Jumat!$H$7:$H$186,Jumat!$C$7:$C$186,$B5,Jumat!$A$7:$A$186,"&gt;="&amp;DATE(2026,10,5),Jumat!$A$7:$A$186,"&lt;="&amp;DATE(2026,10,11))</f>
        <v>0</v>
      </c>
      <c r="Q5" s="45">
        <f>SUMIFS(Senin!$H$7:$H$146,Senin!$C$7:$C$146,$B5,Senin!$A$7:$A$146,"&gt;="&amp;DATE(2026,10,12),Senin!$A$7:$A$146,"&lt;="&amp;DATE(2026,10,18))+SUMIFS(Selasa!$H$7:$H$166,Selasa!$C$7:$C$166,$B5,Selasa!$A$7:$A$166,"&gt;="&amp;DATE(2026,10,12),Selasa!$A$7:$A$166,"&lt;="&amp;DATE(2026,10,18))+SUMIFS(Rabu!$H$7:$H$206,Rabu!$C$7:$C$206,$B5,Rabu!$A$7:$A$206,"&gt;="&amp;DATE(2026,10,12),Rabu!$A$7:$A$206,"&lt;="&amp;DATE(2026,10,18))+SUMIFS(Kamis!$H$7:$H$186,Kamis!$C$7:$C$186,$B5,Kamis!$A$7:$A$186,"&gt;="&amp;DATE(2026,10,12),Kamis!$A$7:$A$186,"&lt;="&amp;DATE(2026,10,18))+SUMIFS(Jumat!$H$7:$H$186,Jumat!$C$7:$C$186,$B5,Jumat!$A$7:$A$186,"&gt;="&amp;DATE(2026,10,12),Jumat!$A$7:$A$186,"&lt;="&amp;DATE(2026,10,18))</f>
        <v>0</v>
      </c>
      <c r="R5" s="45">
        <f>SUMIFS(Senin!$H$7:$H$146,Senin!$C$7:$C$146,$B5,Senin!$A$7:$A$146,"&gt;="&amp;DATE(2026,10,19),Senin!$A$7:$A$146,"&lt;="&amp;DATE(2026,10,25))+SUMIFS(Selasa!$H$7:$H$166,Selasa!$C$7:$C$166,$B5,Selasa!$A$7:$A$166,"&gt;="&amp;DATE(2026,10,19),Selasa!$A$7:$A$166,"&lt;="&amp;DATE(2026,10,25))+SUMIFS(Rabu!$H$7:$H$206,Rabu!$C$7:$C$206,$B5,Rabu!$A$7:$A$206,"&gt;="&amp;DATE(2026,10,19),Rabu!$A$7:$A$206,"&lt;="&amp;DATE(2026,10,25))+SUMIFS(Kamis!$H$7:$H$186,Kamis!$C$7:$C$186,$B5,Kamis!$A$7:$A$186,"&gt;="&amp;DATE(2026,10,19),Kamis!$A$7:$A$186,"&lt;="&amp;DATE(2026,10,25))+SUMIFS(Jumat!$H$7:$H$186,Jumat!$C$7:$C$186,$B5,Jumat!$A$7:$A$186,"&gt;="&amp;DATE(2026,10,19),Jumat!$A$7:$A$186,"&lt;="&amp;DATE(2026,10,25))</f>
        <v>0</v>
      </c>
      <c r="S5" s="45">
        <f>SUMIFS(Senin!$H$7:$H$146,Senin!$C$7:$C$146,$B5,Senin!$A$7:$A$146,"&gt;="&amp;DATE(2026,10,26),Senin!$A$7:$A$146,"&lt;="&amp;DATE(2026,11,1))+SUMIFS(Selasa!$H$7:$H$166,Selasa!$C$7:$C$166,$B5,Selasa!$A$7:$A$166,"&gt;="&amp;DATE(2026,10,26),Selasa!$A$7:$A$166,"&lt;="&amp;DATE(2026,11,1))+SUMIFS(Rabu!$H$7:$H$206,Rabu!$C$7:$C$206,$B5,Rabu!$A$7:$A$206,"&gt;="&amp;DATE(2026,10,26),Rabu!$A$7:$A$206,"&lt;="&amp;DATE(2026,11,1))+SUMIFS(Kamis!$H$7:$H$186,Kamis!$C$7:$C$186,$B5,Kamis!$A$7:$A$186,"&gt;="&amp;DATE(2026,10,26),Kamis!$A$7:$A$186,"&lt;="&amp;DATE(2026,11,1))+SUMIFS(Jumat!$H$7:$H$186,Jumat!$C$7:$C$186,$B5,Jumat!$A$7:$A$186,"&gt;="&amp;DATE(2026,10,26),Jumat!$A$7:$A$186,"&lt;="&amp;DATE(2026,11,1))</f>
        <v>0</v>
      </c>
      <c r="T5" s="45">
        <f>SUMIFS(Senin!$H$7:$H$146,Senin!$C$7:$C$146,$B5,Senin!$A$7:$A$146,"&gt;="&amp;DATE(2026,11,2),Senin!$A$7:$A$146,"&lt;="&amp;DATE(2026,11,8))+SUMIFS(Selasa!$H$7:$H$166,Selasa!$C$7:$C$166,$B5,Selasa!$A$7:$A$166,"&gt;="&amp;DATE(2026,11,2),Selasa!$A$7:$A$166,"&lt;="&amp;DATE(2026,11,8))+SUMIFS(Rabu!$H$7:$H$206,Rabu!$C$7:$C$206,$B5,Rabu!$A$7:$A$206,"&gt;="&amp;DATE(2026,11,2),Rabu!$A$7:$A$206,"&lt;="&amp;DATE(2026,11,8))+SUMIFS(Kamis!$H$7:$H$186,Kamis!$C$7:$C$186,$B5,Kamis!$A$7:$A$186,"&gt;="&amp;DATE(2026,11,2),Kamis!$A$7:$A$186,"&lt;="&amp;DATE(2026,11,8))+SUMIFS(Jumat!$H$7:$H$186,Jumat!$C$7:$C$186,$B5,Jumat!$A$7:$A$186,"&gt;="&amp;DATE(2026,11,2),Jumat!$A$7:$A$186,"&lt;="&amp;DATE(2026,11,8))</f>
        <v>0</v>
      </c>
      <c r="U5" s="45">
        <f>SUMIFS(Senin!$H$7:$H$146,Senin!$C$7:$C$146,$B5,Senin!$A$7:$A$146,"&gt;="&amp;DATE(2026,11,9),Senin!$A$7:$A$146,"&lt;="&amp;DATE(2026,11,15))+SUMIFS(Selasa!$H$7:$H$166,Selasa!$C$7:$C$166,$B5,Selasa!$A$7:$A$166,"&gt;="&amp;DATE(2026,11,9),Selasa!$A$7:$A$166,"&lt;="&amp;DATE(2026,11,15))+SUMIFS(Rabu!$H$7:$H$206,Rabu!$C$7:$C$206,$B5,Rabu!$A$7:$A$206,"&gt;="&amp;DATE(2026,11,9),Rabu!$A$7:$A$206,"&lt;="&amp;DATE(2026,11,15))+SUMIFS(Kamis!$H$7:$H$186,Kamis!$C$7:$C$186,$B5,Kamis!$A$7:$A$186,"&gt;="&amp;DATE(2026,11,9),Kamis!$A$7:$A$186,"&lt;="&amp;DATE(2026,11,15))+SUMIFS(Jumat!$H$7:$H$186,Jumat!$C$7:$C$186,$B5,Jumat!$A$7:$A$186,"&gt;="&amp;DATE(2026,11,9),Jumat!$A$7:$A$186,"&lt;="&amp;DATE(2026,11,15))</f>
        <v>0</v>
      </c>
      <c r="V5" s="45">
        <f>SUMIFS(Senin!$H$7:$H$146,Senin!$C$7:$C$146,$B5,Senin!$A$7:$A$146,"&gt;="&amp;DATE(2026,11,16),Senin!$A$7:$A$146,"&lt;="&amp;DATE(2026,11,22))+SUMIFS(Selasa!$H$7:$H$166,Selasa!$C$7:$C$166,$B5,Selasa!$A$7:$A$166,"&gt;="&amp;DATE(2026,11,16),Selasa!$A$7:$A$166,"&lt;="&amp;DATE(2026,11,22))+SUMIFS(Rabu!$H$7:$H$206,Rabu!$C$7:$C$206,$B5,Rabu!$A$7:$A$206,"&gt;="&amp;DATE(2026,11,16),Rabu!$A$7:$A$206,"&lt;="&amp;DATE(2026,11,22))+SUMIFS(Kamis!$H$7:$H$186,Kamis!$C$7:$C$186,$B5,Kamis!$A$7:$A$186,"&gt;="&amp;DATE(2026,11,16),Kamis!$A$7:$A$186,"&lt;="&amp;DATE(2026,11,22))+SUMIFS(Jumat!$H$7:$H$186,Jumat!$C$7:$C$186,$B5,Jumat!$A$7:$A$186,"&gt;="&amp;DATE(2026,11,16),Jumat!$A$7:$A$186,"&lt;="&amp;DATE(2026,11,22))</f>
        <v>0</v>
      </c>
      <c r="W5" s="45">
        <f>SUMIFS(Senin!$H$7:$H$146,Senin!$C$7:$C$146,$B5,Senin!$A$7:$A$146,"&gt;="&amp;DATE(2026,11,23),Senin!$A$7:$A$146,"&lt;="&amp;DATE(2026,11,29))+SUMIFS(Selasa!$H$7:$H$166,Selasa!$C$7:$C$166,$B5,Selasa!$A$7:$A$166,"&gt;="&amp;DATE(2026,11,23),Selasa!$A$7:$A$166,"&lt;="&amp;DATE(2026,11,29))+SUMIFS(Rabu!$H$7:$H$206,Rabu!$C$7:$C$206,$B5,Rabu!$A$7:$A$206,"&gt;="&amp;DATE(2026,11,23),Rabu!$A$7:$A$206,"&lt;="&amp;DATE(2026,11,29))+SUMIFS(Kamis!$H$7:$H$186,Kamis!$C$7:$C$186,$B5,Kamis!$A$7:$A$186,"&gt;="&amp;DATE(2026,11,23),Kamis!$A$7:$A$186,"&lt;="&amp;DATE(2026,11,29))+SUMIFS(Jumat!$H$7:$H$186,Jumat!$C$7:$C$186,$B5,Jumat!$A$7:$A$186,"&gt;="&amp;DATE(2026,11,23),Jumat!$A$7:$A$186,"&lt;="&amp;DATE(2026,11,29))</f>
        <v>0</v>
      </c>
      <c r="X5" s="45">
        <f>SUMIFS(Senin!$H$7:$H$146,Senin!$C$7:$C$146,$B5,Senin!$A$7:$A$146,"&gt;="&amp;DATE(2026,11,30),Senin!$A$7:$A$146,"&lt;="&amp;DATE(2026,12,6))+SUMIFS(Selasa!$H$7:$H$166,Selasa!$C$7:$C$166,$B5,Selasa!$A$7:$A$166,"&gt;="&amp;DATE(2026,11,30),Selasa!$A$7:$A$166,"&lt;="&amp;DATE(2026,12,6))+SUMIFS(Rabu!$H$7:$H$206,Rabu!$C$7:$C$206,$B5,Rabu!$A$7:$A$206,"&gt;="&amp;DATE(2026,11,30),Rabu!$A$7:$A$206,"&lt;="&amp;DATE(2026,12,6))+SUMIFS(Kamis!$H$7:$H$186,Kamis!$C$7:$C$186,$B5,Kamis!$A$7:$A$186,"&gt;="&amp;DATE(2026,11,30),Kamis!$A$7:$A$186,"&lt;="&amp;DATE(2026,12,6))+SUMIFS(Jumat!$H$7:$H$186,Jumat!$C$7:$C$186,$B5,Jumat!$A$7:$A$186,"&gt;="&amp;DATE(2026,11,30),Jumat!$A$7:$A$186,"&lt;="&amp;DATE(2026,12,6))</f>
        <v>0</v>
      </c>
      <c r="Y5" s="45">
        <f>SUMIFS(Senin!$H$7:$H$146,Senin!$C$7:$C$146,$B5,Senin!$A$7:$A$146,"&gt;="&amp;DATE(2026,12,7),Senin!$A$7:$A$146,"&lt;="&amp;DATE(2026,12,13))+SUMIFS(Selasa!$H$7:$H$166,Selasa!$C$7:$C$166,$B5,Selasa!$A$7:$A$166,"&gt;="&amp;DATE(2026,12,7),Selasa!$A$7:$A$166,"&lt;="&amp;DATE(2026,12,13))+SUMIFS(Rabu!$H$7:$H$206,Rabu!$C$7:$C$206,$B5,Rabu!$A$7:$A$206,"&gt;="&amp;DATE(2026,12,7),Rabu!$A$7:$A$206,"&lt;="&amp;DATE(2026,12,13))+SUMIFS(Kamis!$H$7:$H$186,Kamis!$C$7:$C$186,$B5,Kamis!$A$7:$A$186,"&gt;="&amp;DATE(2026,12,7),Kamis!$A$7:$A$186,"&lt;="&amp;DATE(2026,12,13))+SUMIFS(Jumat!$H$7:$H$186,Jumat!$C$7:$C$186,$B5,Jumat!$A$7:$A$186,"&gt;="&amp;DATE(2026,12,7),Jumat!$A$7:$A$186,"&lt;="&amp;DATE(2026,12,13))</f>
        <v>0</v>
      </c>
      <c r="Z5" s="45">
        <f>SUMIFS(Senin!$H$7:$H$146,Senin!$C$7:$C$146,$B5,Senin!$A$7:$A$146,"&gt;="&amp;DATE(2026,12,14),Senin!$A$7:$A$146,"&lt;="&amp;DATE(2026,12,20))+SUMIFS(Selasa!$H$7:$H$166,Selasa!$C$7:$C$166,$B5,Selasa!$A$7:$A$166,"&gt;="&amp;DATE(2026,12,14),Selasa!$A$7:$A$166,"&lt;="&amp;DATE(2026,12,20))+SUMIFS(Rabu!$H$7:$H$206,Rabu!$C$7:$C$206,$B5,Rabu!$A$7:$A$206,"&gt;="&amp;DATE(2026,12,14),Rabu!$A$7:$A$206,"&lt;="&amp;DATE(2026,12,20))+SUMIFS(Kamis!$H$7:$H$186,Kamis!$C$7:$C$186,$B5,Kamis!$A$7:$A$186,"&gt;="&amp;DATE(2026,12,14),Kamis!$A$7:$A$186,"&lt;="&amp;DATE(2026,12,20))+SUMIFS(Jumat!$H$7:$H$186,Jumat!$C$7:$C$186,$B5,Jumat!$A$7:$A$186,"&gt;="&amp;DATE(2026,12,14),Jumat!$A$7:$A$186,"&lt;="&amp;DATE(2026,12,20))</f>
        <v>0</v>
      </c>
      <c r="AA5" s="45">
        <f>SUMIFS(Senin!$H$7:$H$146,Senin!$C$7:$C$146,$B5,Senin!$A$7:$A$146,"&gt;="&amp;DATE(2026,12,21),Senin!$A$7:$A$146,"&lt;="&amp;DATE(2026,12,27))+SUMIFS(Selasa!$H$7:$H$166,Selasa!$C$7:$C$166,$B5,Selasa!$A$7:$A$166,"&gt;="&amp;DATE(2026,12,21),Selasa!$A$7:$A$166,"&lt;="&amp;DATE(2026,12,27))+SUMIFS(Rabu!$H$7:$H$206,Rabu!$C$7:$C$206,$B5,Rabu!$A$7:$A$206,"&gt;="&amp;DATE(2026,12,21),Rabu!$A$7:$A$206,"&lt;="&amp;DATE(2026,12,27))+SUMIFS(Kamis!$H$7:$H$186,Kamis!$C$7:$C$186,$B5,Kamis!$A$7:$A$186,"&gt;="&amp;DATE(2026,12,21),Kamis!$A$7:$A$186,"&lt;="&amp;DATE(2026,12,27))+SUMIFS(Jumat!$H$7:$H$186,Jumat!$C$7:$C$186,$B5,Jumat!$A$7:$A$186,"&gt;="&amp;DATE(2026,12,21),Jumat!$A$7:$A$186,"&lt;="&amp;DATE(2026,12,27))</f>
        <v>0</v>
      </c>
      <c r="AB5" s="45">
        <f>SUMIFS(Senin!$H$7:$H$146,Senin!$C$7:$C$146,$B5,Senin!$A$7:$A$146,"&gt;="&amp;DATE(2026,12,28),Senin!$A$7:$A$146,"&lt;="&amp;DATE(2027,1,3))+SUMIFS(Selasa!$H$7:$H$166,Selasa!$C$7:$C$166,$B5,Selasa!$A$7:$A$166,"&gt;="&amp;DATE(2026,12,28),Selasa!$A$7:$A$166,"&lt;="&amp;DATE(2027,1,3))+SUMIFS(Rabu!$H$7:$H$206,Rabu!$C$7:$C$206,$B5,Rabu!$A$7:$A$206,"&gt;="&amp;DATE(2026,12,28),Rabu!$A$7:$A$206,"&lt;="&amp;DATE(2027,1,3))+SUMIFS(Kamis!$H$7:$H$186,Kamis!$C$7:$C$186,$B5,Kamis!$A$7:$A$186,"&gt;="&amp;DATE(2026,12,28),Kamis!$A$7:$A$186,"&lt;="&amp;DATE(2027,1,3))+SUMIFS(Jumat!$H$7:$H$186,Jumat!$C$7:$C$186,$B5,Jumat!$A$7:$A$186,"&gt;="&amp;DATE(2026,12,28),Jumat!$A$7:$A$186,"&lt;="&amp;DATE(2027,1,3))</f>
        <v>0</v>
      </c>
      <c r="AC5" s="45">
        <f>SUMIFS(Senin!$H$7:$H$146,Senin!$C$7:$C$146,$B5,Senin!$A$7:$A$146,"&gt;="&amp;DATE(2027,1,4),Senin!$A$7:$A$146,"&lt;="&amp;DATE(2027,1,10))+SUMIFS(Selasa!$H$7:$H$166,Selasa!$C$7:$C$166,$B5,Selasa!$A$7:$A$166,"&gt;="&amp;DATE(2027,1,4),Selasa!$A$7:$A$166,"&lt;="&amp;DATE(2027,1,10))+SUMIFS(Rabu!$H$7:$H$206,Rabu!$C$7:$C$206,$B5,Rabu!$A$7:$A$206,"&gt;="&amp;DATE(2027,1,4),Rabu!$A$7:$A$206,"&lt;="&amp;DATE(2027,1,10))+SUMIFS(Kamis!$H$7:$H$186,Kamis!$C$7:$C$186,$B5,Kamis!$A$7:$A$186,"&gt;="&amp;DATE(2027,1,4),Kamis!$A$7:$A$186,"&lt;="&amp;DATE(2027,1,10))+SUMIFS(Jumat!$H$7:$H$186,Jumat!$C$7:$C$186,$B5,Jumat!$A$7:$A$186,"&gt;="&amp;DATE(2027,1,4),Jumat!$A$7:$A$186,"&lt;="&amp;DATE(2027,1,10))</f>
        <v>0</v>
      </c>
      <c r="AD5" s="45">
        <f>SUMIFS(Senin!$H$7:$H$146,Senin!$C$7:$C$146,$B5,Senin!$A$7:$A$146,"&gt;="&amp;DATE(2027,1,11),Senin!$A$7:$A$146,"&lt;="&amp;DATE(2027,1,17))+SUMIFS(Selasa!$H$7:$H$166,Selasa!$C$7:$C$166,$B5,Selasa!$A$7:$A$166,"&gt;="&amp;DATE(2027,1,11),Selasa!$A$7:$A$166,"&lt;="&amp;DATE(2027,1,17))+SUMIFS(Rabu!$H$7:$H$206,Rabu!$C$7:$C$206,$B5,Rabu!$A$7:$A$206,"&gt;="&amp;DATE(2027,1,11),Rabu!$A$7:$A$206,"&lt;="&amp;DATE(2027,1,17))+SUMIFS(Kamis!$H$7:$H$186,Kamis!$C$7:$C$186,$B5,Kamis!$A$7:$A$186,"&gt;="&amp;DATE(2027,1,11),Kamis!$A$7:$A$186,"&lt;="&amp;DATE(2027,1,17))+SUMIFS(Jumat!$H$7:$H$186,Jumat!$C$7:$C$186,$B5,Jumat!$A$7:$A$186,"&gt;="&amp;DATE(2027,1,11),Jumat!$A$7:$A$186,"&lt;="&amp;DATE(2027,1,17))</f>
        <v>0</v>
      </c>
    </row>
    <row r="6" ht="14.25" customHeight="1">
      <c r="A6" s="27">
        <v>3.0</v>
      </c>
      <c r="B6" s="28" t="s">
        <v>10</v>
      </c>
      <c r="C6" s="41">
        <f>COUNTIFS(Senin!$C$7:$C$146,$B6,Senin!$G$7:$G$146,"Ya",Senin!$E$7:$E$146,"&lt;&gt;")+COUNTIFS(Selasa!$C$7:$C$166,$B6,Selasa!$G$7:$G$166,"Ya",Selasa!$E$7:$E$166,"&lt;&gt;")+COUNTIFS(Rabu!$C$7:$C$206,$B6,Rabu!$G$7:$G$206,"Ya",Rabu!$E$7:$E$206,"&lt;&gt;")+COUNTIFS(Kamis!$C$7:$C$186,$B6,Kamis!$G$7:$G$186,"Ya",Kamis!$E$7:$E$186,"&lt;&gt;")+COUNTIFS(Jumat!$C$7:$C$186,$B6,Jumat!$G$7:$G$186,"Ya",Jumat!$E$7:$E$186,"&lt;&gt;")</f>
        <v>0</v>
      </c>
      <c r="D6" s="41">
        <f>COUNTIFS(Senin!$C$7:$C$146,$B6,Senin!$G$7:$G$146,"Ya",Senin!$E$7:$E$146,"")+COUNTIFS(Selasa!$C$7:$C$166,$B6,Selasa!$G$7:$G$166,"Ya",Selasa!$E$7:$E$166,"")+COUNTIFS(Rabu!$C$7:$C$206,$B6,Rabu!$G$7:$G$206,"Ya",Rabu!$E$7:$E$206,"")+COUNTIFS(Kamis!$C$7:$C$186,$B6,Kamis!$G$7:$G$186,"Ya",Kamis!$E$7:$E$186,"")+COUNTIFS(Jumat!$C$7:$C$186,$B6,Jumat!$G$7:$G$186,"Ya",Jumat!$E$7:$E$186,"")</f>
        <v>0</v>
      </c>
      <c r="E6" s="45">
        <f>SUMIFS(Senin!$H$7:$H$146,Senin!$C$7:$C$146,$B6,Senin!$A$7:$A$146,"&gt;="&amp;DATE(2026,8,1),Senin!$A$7:$A$146,"&lt;="&amp;DATE(2026,12,31))+SUMIFS(Selasa!$H$7:$H$166,Selasa!$C$7:$C$166,$B6,Selasa!$A$7:$A$166,"&gt;="&amp;DATE(2026,8,1),Selasa!$A$7:$A$166,"&lt;="&amp;DATE(2026,12,31))+SUMIFS(Rabu!$H$7:$H$206,Rabu!$C$7:$C$206,$B6,Rabu!$A$7:$A$206,"&gt;="&amp;DATE(2026,8,1),Rabu!$A$7:$A$206,"&lt;="&amp;DATE(2026,12,31))+SUMIFS(Kamis!$H$7:$H$186,Kamis!$C$7:$C$186,$B6,Kamis!$A$7:$A$186,"&gt;="&amp;DATE(2026,8,1),Kamis!$A$7:$A$186,"&lt;="&amp;DATE(2026,12,31))+SUMIFS(Jumat!$H$7:$H$186,Jumat!$C$7:$C$186,$B6,Jumat!$A$7:$A$186,"&gt;="&amp;DATE(2026,8,1),Jumat!$A$7:$A$186,"&lt;="&amp;DATE(2026,12,31))</f>
        <v>0</v>
      </c>
      <c r="F6" s="45">
        <f>SUMIFS(Senin!$H$7:$H$146,Senin!$C$7:$C$146,$B6,Senin!$A$7:$A$146,"&gt;="&amp;DATE(2026,8,1),Senin!$A$7:$A$146,"&lt;="&amp;DATE(2026,8,31))+SUMIFS(Selasa!$H$7:$H$166,Selasa!$C$7:$C$166,$B6,Selasa!$A$7:$A$166,"&gt;="&amp;DATE(2026,8,1),Selasa!$A$7:$A$166,"&lt;="&amp;DATE(2026,8,31))+SUMIFS(Rabu!$H$7:$H$206,Rabu!$C$7:$C$206,$B6,Rabu!$A$7:$A$206,"&gt;="&amp;DATE(2026,8,1),Rabu!$A$7:$A$206,"&lt;="&amp;DATE(2026,8,31))+SUMIFS(Kamis!$H$7:$H$186,Kamis!$C$7:$C$186,$B6,Kamis!$A$7:$A$186,"&gt;="&amp;DATE(2026,8,1),Kamis!$A$7:$A$186,"&lt;="&amp;DATE(2026,8,31))+SUMIFS(Jumat!$H$7:$H$186,Jumat!$C$7:$C$186,$B6,Jumat!$A$7:$A$186,"&gt;="&amp;DATE(2026,8,1),Jumat!$A$7:$A$186,"&lt;="&amp;DATE(2026,8,31))</f>
        <v>0</v>
      </c>
      <c r="G6" s="45">
        <f>SUMIFS(Senin!$H$7:$H$146,Senin!$C$7:$C$146,$B6,Senin!$A$7:$A$146,"&gt;="&amp;DATE(2026,9,1),Senin!$A$7:$A$146,"&lt;="&amp;DATE(2026,9,30))+SUMIFS(Selasa!$H$7:$H$166,Selasa!$C$7:$C$166,$B6,Selasa!$A$7:$A$166,"&gt;="&amp;DATE(2026,9,1),Selasa!$A$7:$A$166,"&lt;="&amp;DATE(2026,9,30))+SUMIFS(Rabu!$H$7:$H$206,Rabu!$C$7:$C$206,$B6,Rabu!$A$7:$A$206,"&gt;="&amp;DATE(2026,9,1),Rabu!$A$7:$A$206,"&lt;="&amp;DATE(2026,9,30))+SUMIFS(Kamis!$H$7:$H$186,Kamis!$C$7:$C$186,$B6,Kamis!$A$7:$A$186,"&gt;="&amp;DATE(2026,9,1),Kamis!$A$7:$A$186,"&lt;="&amp;DATE(2026,9,30))+SUMIFS(Jumat!$H$7:$H$186,Jumat!$C$7:$C$186,$B6,Jumat!$A$7:$A$186,"&gt;="&amp;DATE(2026,9,1),Jumat!$A$7:$A$186,"&lt;="&amp;DATE(2026,9,30))</f>
        <v>0</v>
      </c>
      <c r="H6" s="45">
        <f>SUMIFS(Senin!$H$7:$H$146,Senin!$C$7:$C$146,$B6,Senin!$A$7:$A$146,"&gt;="&amp;DATE(2026,10,1),Senin!$A$7:$A$146,"&lt;="&amp;DATE(2026,10,31))+SUMIFS(Selasa!$H$7:$H$166,Selasa!$C$7:$C$166,$B6,Selasa!$A$7:$A$166,"&gt;="&amp;DATE(2026,10,1),Selasa!$A$7:$A$166,"&lt;="&amp;DATE(2026,10,31))+SUMIFS(Rabu!$H$7:$H$206,Rabu!$C$7:$C$206,$B6,Rabu!$A$7:$A$206,"&gt;="&amp;DATE(2026,10,1),Rabu!$A$7:$A$206,"&lt;="&amp;DATE(2026,10,31))+SUMIFS(Kamis!$H$7:$H$186,Kamis!$C$7:$C$186,$B6,Kamis!$A$7:$A$186,"&gt;="&amp;DATE(2026,10,1),Kamis!$A$7:$A$186,"&lt;="&amp;DATE(2026,10,31))+SUMIFS(Jumat!$H$7:$H$186,Jumat!$C$7:$C$186,$B6,Jumat!$A$7:$A$186,"&gt;="&amp;DATE(2026,10,1),Jumat!$A$7:$A$186,"&lt;="&amp;DATE(2026,10,31))</f>
        <v>0</v>
      </c>
      <c r="I6" s="45">
        <f>SUMIFS(Senin!$H$7:$H$146,Senin!$C$7:$C$146,$B6,Senin!$A$7:$A$146,"&gt;="&amp;DATE(2026,11,1),Senin!$A$7:$A$146,"&lt;="&amp;DATE(2026,11,30))+SUMIFS(Selasa!$H$7:$H$166,Selasa!$C$7:$C$166,$B6,Selasa!$A$7:$A$166,"&gt;="&amp;DATE(2026,11,1),Selasa!$A$7:$A$166,"&lt;="&amp;DATE(2026,11,30))+SUMIFS(Rabu!$H$7:$H$206,Rabu!$C$7:$C$206,$B6,Rabu!$A$7:$A$206,"&gt;="&amp;DATE(2026,11,1),Rabu!$A$7:$A$206,"&lt;="&amp;DATE(2026,11,30))+SUMIFS(Kamis!$H$7:$H$186,Kamis!$C$7:$C$186,$B6,Kamis!$A$7:$A$186,"&gt;="&amp;DATE(2026,11,1),Kamis!$A$7:$A$186,"&lt;="&amp;DATE(2026,11,30))+SUMIFS(Jumat!$H$7:$H$186,Jumat!$C$7:$C$186,$B6,Jumat!$A$7:$A$186,"&gt;="&amp;DATE(2026,11,1),Jumat!$A$7:$A$186,"&lt;="&amp;DATE(2026,11,30))</f>
        <v>0</v>
      </c>
      <c r="J6" s="45">
        <f>SUMIFS(Senin!$H$7:$H$146,Senin!$C$7:$C$146,$B6,Senin!$A$7:$A$146,"&gt;="&amp;DATE(2026,12,1),Senin!$A$7:$A$146,"&lt;="&amp;DATE(2026,12,31))+SUMIFS(Selasa!$H$7:$H$166,Selasa!$C$7:$C$166,$B6,Selasa!$A$7:$A$166,"&gt;="&amp;DATE(2026,12,1),Selasa!$A$7:$A$166,"&lt;="&amp;DATE(2026,12,31))+SUMIFS(Rabu!$H$7:$H$206,Rabu!$C$7:$C$206,$B6,Rabu!$A$7:$A$206,"&gt;="&amp;DATE(2026,12,1),Rabu!$A$7:$A$206,"&lt;="&amp;DATE(2026,12,31))+SUMIFS(Kamis!$H$7:$H$186,Kamis!$C$7:$C$186,$B6,Kamis!$A$7:$A$186,"&gt;="&amp;DATE(2026,12,1),Kamis!$A$7:$A$186,"&lt;="&amp;DATE(2026,12,31))+SUMIFS(Jumat!$H$7:$H$186,Jumat!$C$7:$C$186,$B6,Jumat!$A$7:$A$186,"&gt;="&amp;DATE(2026,12,1),Jumat!$A$7:$A$186,"&lt;="&amp;DATE(2026,12,31))</f>
        <v>0</v>
      </c>
      <c r="K6" s="45">
        <f>SUMIFS(Senin!$H$7:$H$146,Senin!$C$7:$C$146,$B6,Senin!$A$7:$A$146,"&gt;="&amp;DATE(2026,8,31),Senin!$A$7:$A$146,"&lt;="&amp;DATE(2026,9,6))+SUMIFS(Selasa!$H$7:$H$166,Selasa!$C$7:$C$166,$B6,Selasa!$A$7:$A$166,"&gt;="&amp;DATE(2026,8,31),Selasa!$A$7:$A$166,"&lt;="&amp;DATE(2026,9,6))+SUMIFS(Rabu!$H$7:$H$206,Rabu!$C$7:$C$206,$B6,Rabu!$A$7:$A$206,"&gt;="&amp;DATE(2026,8,31),Rabu!$A$7:$A$206,"&lt;="&amp;DATE(2026,9,6))+SUMIFS(Kamis!$H$7:$H$186,Kamis!$C$7:$C$186,$B6,Kamis!$A$7:$A$186,"&gt;="&amp;DATE(2026,8,31),Kamis!$A$7:$A$186,"&lt;="&amp;DATE(2026,9,6))+SUMIFS(Jumat!$H$7:$H$186,Jumat!$C$7:$C$186,$B6,Jumat!$A$7:$A$186,"&gt;="&amp;DATE(2026,8,31),Jumat!$A$7:$A$186,"&lt;="&amp;DATE(2026,9,6))</f>
        <v>0</v>
      </c>
      <c r="L6" s="45">
        <f>SUMIFS(Senin!$H$7:$H$146,Senin!$C$7:$C$146,$B6,Senin!$A$7:$A$146,"&gt;="&amp;DATE(2026,9,7),Senin!$A$7:$A$146,"&lt;="&amp;DATE(2026,9,13))+SUMIFS(Selasa!$H$7:$H$166,Selasa!$C$7:$C$166,$B6,Selasa!$A$7:$A$166,"&gt;="&amp;DATE(2026,9,7),Selasa!$A$7:$A$166,"&lt;="&amp;DATE(2026,9,13))+SUMIFS(Rabu!$H$7:$H$206,Rabu!$C$7:$C$206,$B6,Rabu!$A$7:$A$206,"&gt;="&amp;DATE(2026,9,7),Rabu!$A$7:$A$206,"&lt;="&amp;DATE(2026,9,13))+SUMIFS(Kamis!$H$7:$H$186,Kamis!$C$7:$C$186,$B6,Kamis!$A$7:$A$186,"&gt;="&amp;DATE(2026,9,7),Kamis!$A$7:$A$186,"&lt;="&amp;DATE(2026,9,13))+SUMIFS(Jumat!$H$7:$H$186,Jumat!$C$7:$C$186,$B6,Jumat!$A$7:$A$186,"&gt;="&amp;DATE(2026,9,7),Jumat!$A$7:$A$186,"&lt;="&amp;DATE(2026,9,13))</f>
        <v>0</v>
      </c>
      <c r="M6" s="45">
        <f>SUMIFS(Senin!$H$7:$H$146,Senin!$C$7:$C$146,$B6,Senin!$A$7:$A$146,"&gt;="&amp;DATE(2026,9,14),Senin!$A$7:$A$146,"&lt;="&amp;DATE(2026,9,20))+SUMIFS(Selasa!$H$7:$H$166,Selasa!$C$7:$C$166,$B6,Selasa!$A$7:$A$166,"&gt;="&amp;DATE(2026,9,14),Selasa!$A$7:$A$166,"&lt;="&amp;DATE(2026,9,20))+SUMIFS(Rabu!$H$7:$H$206,Rabu!$C$7:$C$206,$B6,Rabu!$A$7:$A$206,"&gt;="&amp;DATE(2026,9,14),Rabu!$A$7:$A$206,"&lt;="&amp;DATE(2026,9,20))+SUMIFS(Kamis!$H$7:$H$186,Kamis!$C$7:$C$186,$B6,Kamis!$A$7:$A$186,"&gt;="&amp;DATE(2026,9,14),Kamis!$A$7:$A$186,"&lt;="&amp;DATE(2026,9,20))+SUMIFS(Jumat!$H$7:$H$186,Jumat!$C$7:$C$186,$B6,Jumat!$A$7:$A$186,"&gt;="&amp;DATE(2026,9,14),Jumat!$A$7:$A$186,"&lt;="&amp;DATE(2026,9,20))</f>
        <v>0</v>
      </c>
      <c r="N6" s="45">
        <f>SUMIFS(Senin!$H$7:$H$146,Senin!$C$7:$C$146,$B6,Senin!$A$7:$A$146,"&gt;="&amp;DATE(2026,9,21),Senin!$A$7:$A$146,"&lt;="&amp;DATE(2026,9,27))+SUMIFS(Selasa!$H$7:$H$166,Selasa!$C$7:$C$166,$B6,Selasa!$A$7:$A$166,"&gt;="&amp;DATE(2026,9,21),Selasa!$A$7:$A$166,"&lt;="&amp;DATE(2026,9,27))+SUMIFS(Rabu!$H$7:$H$206,Rabu!$C$7:$C$206,$B6,Rabu!$A$7:$A$206,"&gt;="&amp;DATE(2026,9,21),Rabu!$A$7:$A$206,"&lt;="&amp;DATE(2026,9,27))+SUMIFS(Kamis!$H$7:$H$186,Kamis!$C$7:$C$186,$B6,Kamis!$A$7:$A$186,"&gt;="&amp;DATE(2026,9,21),Kamis!$A$7:$A$186,"&lt;="&amp;DATE(2026,9,27))+SUMIFS(Jumat!$H$7:$H$186,Jumat!$C$7:$C$186,$B6,Jumat!$A$7:$A$186,"&gt;="&amp;DATE(2026,9,21),Jumat!$A$7:$A$186,"&lt;="&amp;DATE(2026,9,27))</f>
        <v>0</v>
      </c>
      <c r="O6" s="45">
        <f>SUMIFS(Senin!$H$7:$H$146,Senin!$C$7:$C$146,$B6,Senin!$A$7:$A$146,"&gt;="&amp;DATE(2026,9,28),Senin!$A$7:$A$146,"&lt;="&amp;DATE(2026,10,4))+SUMIFS(Selasa!$H$7:$H$166,Selasa!$C$7:$C$166,$B6,Selasa!$A$7:$A$166,"&gt;="&amp;DATE(2026,9,28),Selasa!$A$7:$A$166,"&lt;="&amp;DATE(2026,10,4))+SUMIFS(Rabu!$H$7:$H$206,Rabu!$C$7:$C$206,$B6,Rabu!$A$7:$A$206,"&gt;="&amp;DATE(2026,9,28),Rabu!$A$7:$A$206,"&lt;="&amp;DATE(2026,10,4))+SUMIFS(Kamis!$H$7:$H$186,Kamis!$C$7:$C$186,$B6,Kamis!$A$7:$A$186,"&gt;="&amp;DATE(2026,9,28),Kamis!$A$7:$A$186,"&lt;="&amp;DATE(2026,10,4))+SUMIFS(Jumat!$H$7:$H$186,Jumat!$C$7:$C$186,$B6,Jumat!$A$7:$A$186,"&gt;="&amp;DATE(2026,9,28),Jumat!$A$7:$A$186,"&lt;="&amp;DATE(2026,10,4))</f>
        <v>0</v>
      </c>
      <c r="P6" s="45">
        <f>SUMIFS(Senin!$H$7:$H$146,Senin!$C$7:$C$146,$B6,Senin!$A$7:$A$146,"&gt;="&amp;DATE(2026,10,5),Senin!$A$7:$A$146,"&lt;="&amp;DATE(2026,10,11))+SUMIFS(Selasa!$H$7:$H$166,Selasa!$C$7:$C$166,$B6,Selasa!$A$7:$A$166,"&gt;="&amp;DATE(2026,10,5),Selasa!$A$7:$A$166,"&lt;="&amp;DATE(2026,10,11))+SUMIFS(Rabu!$H$7:$H$206,Rabu!$C$7:$C$206,$B6,Rabu!$A$7:$A$206,"&gt;="&amp;DATE(2026,10,5),Rabu!$A$7:$A$206,"&lt;="&amp;DATE(2026,10,11))+SUMIFS(Kamis!$H$7:$H$186,Kamis!$C$7:$C$186,$B6,Kamis!$A$7:$A$186,"&gt;="&amp;DATE(2026,10,5),Kamis!$A$7:$A$186,"&lt;="&amp;DATE(2026,10,11))+SUMIFS(Jumat!$H$7:$H$186,Jumat!$C$7:$C$186,$B6,Jumat!$A$7:$A$186,"&gt;="&amp;DATE(2026,10,5),Jumat!$A$7:$A$186,"&lt;="&amp;DATE(2026,10,11))</f>
        <v>0</v>
      </c>
      <c r="Q6" s="45">
        <f>SUMIFS(Senin!$H$7:$H$146,Senin!$C$7:$C$146,$B6,Senin!$A$7:$A$146,"&gt;="&amp;DATE(2026,10,12),Senin!$A$7:$A$146,"&lt;="&amp;DATE(2026,10,18))+SUMIFS(Selasa!$H$7:$H$166,Selasa!$C$7:$C$166,$B6,Selasa!$A$7:$A$166,"&gt;="&amp;DATE(2026,10,12),Selasa!$A$7:$A$166,"&lt;="&amp;DATE(2026,10,18))+SUMIFS(Rabu!$H$7:$H$206,Rabu!$C$7:$C$206,$B6,Rabu!$A$7:$A$206,"&gt;="&amp;DATE(2026,10,12),Rabu!$A$7:$A$206,"&lt;="&amp;DATE(2026,10,18))+SUMIFS(Kamis!$H$7:$H$186,Kamis!$C$7:$C$186,$B6,Kamis!$A$7:$A$186,"&gt;="&amp;DATE(2026,10,12),Kamis!$A$7:$A$186,"&lt;="&amp;DATE(2026,10,18))+SUMIFS(Jumat!$H$7:$H$186,Jumat!$C$7:$C$186,$B6,Jumat!$A$7:$A$186,"&gt;="&amp;DATE(2026,10,12),Jumat!$A$7:$A$186,"&lt;="&amp;DATE(2026,10,18))</f>
        <v>0</v>
      </c>
      <c r="R6" s="45">
        <f>SUMIFS(Senin!$H$7:$H$146,Senin!$C$7:$C$146,$B6,Senin!$A$7:$A$146,"&gt;="&amp;DATE(2026,10,19),Senin!$A$7:$A$146,"&lt;="&amp;DATE(2026,10,25))+SUMIFS(Selasa!$H$7:$H$166,Selasa!$C$7:$C$166,$B6,Selasa!$A$7:$A$166,"&gt;="&amp;DATE(2026,10,19),Selasa!$A$7:$A$166,"&lt;="&amp;DATE(2026,10,25))+SUMIFS(Rabu!$H$7:$H$206,Rabu!$C$7:$C$206,$B6,Rabu!$A$7:$A$206,"&gt;="&amp;DATE(2026,10,19),Rabu!$A$7:$A$206,"&lt;="&amp;DATE(2026,10,25))+SUMIFS(Kamis!$H$7:$H$186,Kamis!$C$7:$C$186,$B6,Kamis!$A$7:$A$186,"&gt;="&amp;DATE(2026,10,19),Kamis!$A$7:$A$186,"&lt;="&amp;DATE(2026,10,25))+SUMIFS(Jumat!$H$7:$H$186,Jumat!$C$7:$C$186,$B6,Jumat!$A$7:$A$186,"&gt;="&amp;DATE(2026,10,19),Jumat!$A$7:$A$186,"&lt;="&amp;DATE(2026,10,25))</f>
        <v>0</v>
      </c>
      <c r="S6" s="45">
        <f>SUMIFS(Senin!$H$7:$H$146,Senin!$C$7:$C$146,$B6,Senin!$A$7:$A$146,"&gt;="&amp;DATE(2026,10,26),Senin!$A$7:$A$146,"&lt;="&amp;DATE(2026,11,1))+SUMIFS(Selasa!$H$7:$H$166,Selasa!$C$7:$C$166,$B6,Selasa!$A$7:$A$166,"&gt;="&amp;DATE(2026,10,26),Selasa!$A$7:$A$166,"&lt;="&amp;DATE(2026,11,1))+SUMIFS(Rabu!$H$7:$H$206,Rabu!$C$7:$C$206,$B6,Rabu!$A$7:$A$206,"&gt;="&amp;DATE(2026,10,26),Rabu!$A$7:$A$206,"&lt;="&amp;DATE(2026,11,1))+SUMIFS(Kamis!$H$7:$H$186,Kamis!$C$7:$C$186,$B6,Kamis!$A$7:$A$186,"&gt;="&amp;DATE(2026,10,26),Kamis!$A$7:$A$186,"&lt;="&amp;DATE(2026,11,1))+SUMIFS(Jumat!$H$7:$H$186,Jumat!$C$7:$C$186,$B6,Jumat!$A$7:$A$186,"&gt;="&amp;DATE(2026,10,26),Jumat!$A$7:$A$186,"&lt;="&amp;DATE(2026,11,1))</f>
        <v>0</v>
      </c>
      <c r="T6" s="45">
        <f>SUMIFS(Senin!$H$7:$H$146,Senin!$C$7:$C$146,$B6,Senin!$A$7:$A$146,"&gt;="&amp;DATE(2026,11,2),Senin!$A$7:$A$146,"&lt;="&amp;DATE(2026,11,8))+SUMIFS(Selasa!$H$7:$H$166,Selasa!$C$7:$C$166,$B6,Selasa!$A$7:$A$166,"&gt;="&amp;DATE(2026,11,2),Selasa!$A$7:$A$166,"&lt;="&amp;DATE(2026,11,8))+SUMIFS(Rabu!$H$7:$H$206,Rabu!$C$7:$C$206,$B6,Rabu!$A$7:$A$206,"&gt;="&amp;DATE(2026,11,2),Rabu!$A$7:$A$206,"&lt;="&amp;DATE(2026,11,8))+SUMIFS(Kamis!$H$7:$H$186,Kamis!$C$7:$C$186,$B6,Kamis!$A$7:$A$186,"&gt;="&amp;DATE(2026,11,2),Kamis!$A$7:$A$186,"&lt;="&amp;DATE(2026,11,8))+SUMIFS(Jumat!$H$7:$H$186,Jumat!$C$7:$C$186,$B6,Jumat!$A$7:$A$186,"&gt;="&amp;DATE(2026,11,2),Jumat!$A$7:$A$186,"&lt;="&amp;DATE(2026,11,8))</f>
        <v>0</v>
      </c>
      <c r="U6" s="45">
        <f>SUMIFS(Senin!$H$7:$H$146,Senin!$C$7:$C$146,$B6,Senin!$A$7:$A$146,"&gt;="&amp;DATE(2026,11,9),Senin!$A$7:$A$146,"&lt;="&amp;DATE(2026,11,15))+SUMIFS(Selasa!$H$7:$H$166,Selasa!$C$7:$C$166,$B6,Selasa!$A$7:$A$166,"&gt;="&amp;DATE(2026,11,9),Selasa!$A$7:$A$166,"&lt;="&amp;DATE(2026,11,15))+SUMIFS(Rabu!$H$7:$H$206,Rabu!$C$7:$C$206,$B6,Rabu!$A$7:$A$206,"&gt;="&amp;DATE(2026,11,9),Rabu!$A$7:$A$206,"&lt;="&amp;DATE(2026,11,15))+SUMIFS(Kamis!$H$7:$H$186,Kamis!$C$7:$C$186,$B6,Kamis!$A$7:$A$186,"&gt;="&amp;DATE(2026,11,9),Kamis!$A$7:$A$186,"&lt;="&amp;DATE(2026,11,15))+SUMIFS(Jumat!$H$7:$H$186,Jumat!$C$7:$C$186,$B6,Jumat!$A$7:$A$186,"&gt;="&amp;DATE(2026,11,9),Jumat!$A$7:$A$186,"&lt;="&amp;DATE(2026,11,15))</f>
        <v>0</v>
      </c>
      <c r="V6" s="45">
        <f>SUMIFS(Senin!$H$7:$H$146,Senin!$C$7:$C$146,$B6,Senin!$A$7:$A$146,"&gt;="&amp;DATE(2026,11,16),Senin!$A$7:$A$146,"&lt;="&amp;DATE(2026,11,22))+SUMIFS(Selasa!$H$7:$H$166,Selasa!$C$7:$C$166,$B6,Selasa!$A$7:$A$166,"&gt;="&amp;DATE(2026,11,16),Selasa!$A$7:$A$166,"&lt;="&amp;DATE(2026,11,22))+SUMIFS(Rabu!$H$7:$H$206,Rabu!$C$7:$C$206,$B6,Rabu!$A$7:$A$206,"&gt;="&amp;DATE(2026,11,16),Rabu!$A$7:$A$206,"&lt;="&amp;DATE(2026,11,22))+SUMIFS(Kamis!$H$7:$H$186,Kamis!$C$7:$C$186,$B6,Kamis!$A$7:$A$186,"&gt;="&amp;DATE(2026,11,16),Kamis!$A$7:$A$186,"&lt;="&amp;DATE(2026,11,22))+SUMIFS(Jumat!$H$7:$H$186,Jumat!$C$7:$C$186,$B6,Jumat!$A$7:$A$186,"&gt;="&amp;DATE(2026,11,16),Jumat!$A$7:$A$186,"&lt;="&amp;DATE(2026,11,22))</f>
        <v>0</v>
      </c>
      <c r="W6" s="45">
        <f>SUMIFS(Senin!$H$7:$H$146,Senin!$C$7:$C$146,$B6,Senin!$A$7:$A$146,"&gt;="&amp;DATE(2026,11,23),Senin!$A$7:$A$146,"&lt;="&amp;DATE(2026,11,29))+SUMIFS(Selasa!$H$7:$H$166,Selasa!$C$7:$C$166,$B6,Selasa!$A$7:$A$166,"&gt;="&amp;DATE(2026,11,23),Selasa!$A$7:$A$166,"&lt;="&amp;DATE(2026,11,29))+SUMIFS(Rabu!$H$7:$H$206,Rabu!$C$7:$C$206,$B6,Rabu!$A$7:$A$206,"&gt;="&amp;DATE(2026,11,23),Rabu!$A$7:$A$206,"&lt;="&amp;DATE(2026,11,29))+SUMIFS(Kamis!$H$7:$H$186,Kamis!$C$7:$C$186,$B6,Kamis!$A$7:$A$186,"&gt;="&amp;DATE(2026,11,23),Kamis!$A$7:$A$186,"&lt;="&amp;DATE(2026,11,29))+SUMIFS(Jumat!$H$7:$H$186,Jumat!$C$7:$C$186,$B6,Jumat!$A$7:$A$186,"&gt;="&amp;DATE(2026,11,23),Jumat!$A$7:$A$186,"&lt;="&amp;DATE(2026,11,29))</f>
        <v>0</v>
      </c>
      <c r="X6" s="45">
        <f>SUMIFS(Senin!$H$7:$H$146,Senin!$C$7:$C$146,$B6,Senin!$A$7:$A$146,"&gt;="&amp;DATE(2026,11,30),Senin!$A$7:$A$146,"&lt;="&amp;DATE(2026,12,6))+SUMIFS(Selasa!$H$7:$H$166,Selasa!$C$7:$C$166,$B6,Selasa!$A$7:$A$166,"&gt;="&amp;DATE(2026,11,30),Selasa!$A$7:$A$166,"&lt;="&amp;DATE(2026,12,6))+SUMIFS(Rabu!$H$7:$H$206,Rabu!$C$7:$C$206,$B6,Rabu!$A$7:$A$206,"&gt;="&amp;DATE(2026,11,30),Rabu!$A$7:$A$206,"&lt;="&amp;DATE(2026,12,6))+SUMIFS(Kamis!$H$7:$H$186,Kamis!$C$7:$C$186,$B6,Kamis!$A$7:$A$186,"&gt;="&amp;DATE(2026,11,30),Kamis!$A$7:$A$186,"&lt;="&amp;DATE(2026,12,6))+SUMIFS(Jumat!$H$7:$H$186,Jumat!$C$7:$C$186,$B6,Jumat!$A$7:$A$186,"&gt;="&amp;DATE(2026,11,30),Jumat!$A$7:$A$186,"&lt;="&amp;DATE(2026,12,6))</f>
        <v>0</v>
      </c>
      <c r="Y6" s="45">
        <f>SUMIFS(Senin!$H$7:$H$146,Senin!$C$7:$C$146,$B6,Senin!$A$7:$A$146,"&gt;="&amp;DATE(2026,12,7),Senin!$A$7:$A$146,"&lt;="&amp;DATE(2026,12,13))+SUMIFS(Selasa!$H$7:$H$166,Selasa!$C$7:$C$166,$B6,Selasa!$A$7:$A$166,"&gt;="&amp;DATE(2026,12,7),Selasa!$A$7:$A$166,"&lt;="&amp;DATE(2026,12,13))+SUMIFS(Rabu!$H$7:$H$206,Rabu!$C$7:$C$206,$B6,Rabu!$A$7:$A$206,"&gt;="&amp;DATE(2026,12,7),Rabu!$A$7:$A$206,"&lt;="&amp;DATE(2026,12,13))+SUMIFS(Kamis!$H$7:$H$186,Kamis!$C$7:$C$186,$B6,Kamis!$A$7:$A$186,"&gt;="&amp;DATE(2026,12,7),Kamis!$A$7:$A$186,"&lt;="&amp;DATE(2026,12,13))+SUMIFS(Jumat!$H$7:$H$186,Jumat!$C$7:$C$186,$B6,Jumat!$A$7:$A$186,"&gt;="&amp;DATE(2026,12,7),Jumat!$A$7:$A$186,"&lt;="&amp;DATE(2026,12,13))</f>
        <v>0</v>
      </c>
      <c r="Z6" s="45">
        <f>SUMIFS(Senin!$H$7:$H$146,Senin!$C$7:$C$146,$B6,Senin!$A$7:$A$146,"&gt;="&amp;DATE(2026,12,14),Senin!$A$7:$A$146,"&lt;="&amp;DATE(2026,12,20))+SUMIFS(Selasa!$H$7:$H$166,Selasa!$C$7:$C$166,$B6,Selasa!$A$7:$A$166,"&gt;="&amp;DATE(2026,12,14),Selasa!$A$7:$A$166,"&lt;="&amp;DATE(2026,12,20))+SUMIFS(Rabu!$H$7:$H$206,Rabu!$C$7:$C$206,$B6,Rabu!$A$7:$A$206,"&gt;="&amp;DATE(2026,12,14),Rabu!$A$7:$A$206,"&lt;="&amp;DATE(2026,12,20))+SUMIFS(Kamis!$H$7:$H$186,Kamis!$C$7:$C$186,$B6,Kamis!$A$7:$A$186,"&gt;="&amp;DATE(2026,12,14),Kamis!$A$7:$A$186,"&lt;="&amp;DATE(2026,12,20))+SUMIFS(Jumat!$H$7:$H$186,Jumat!$C$7:$C$186,$B6,Jumat!$A$7:$A$186,"&gt;="&amp;DATE(2026,12,14),Jumat!$A$7:$A$186,"&lt;="&amp;DATE(2026,12,20))</f>
        <v>0</v>
      </c>
      <c r="AA6" s="45">
        <f>SUMIFS(Senin!$H$7:$H$146,Senin!$C$7:$C$146,$B6,Senin!$A$7:$A$146,"&gt;="&amp;DATE(2026,12,21),Senin!$A$7:$A$146,"&lt;="&amp;DATE(2026,12,27))+SUMIFS(Selasa!$H$7:$H$166,Selasa!$C$7:$C$166,$B6,Selasa!$A$7:$A$166,"&gt;="&amp;DATE(2026,12,21),Selasa!$A$7:$A$166,"&lt;="&amp;DATE(2026,12,27))+SUMIFS(Rabu!$H$7:$H$206,Rabu!$C$7:$C$206,$B6,Rabu!$A$7:$A$206,"&gt;="&amp;DATE(2026,12,21),Rabu!$A$7:$A$206,"&lt;="&amp;DATE(2026,12,27))+SUMIFS(Kamis!$H$7:$H$186,Kamis!$C$7:$C$186,$B6,Kamis!$A$7:$A$186,"&gt;="&amp;DATE(2026,12,21),Kamis!$A$7:$A$186,"&lt;="&amp;DATE(2026,12,27))+SUMIFS(Jumat!$H$7:$H$186,Jumat!$C$7:$C$186,$B6,Jumat!$A$7:$A$186,"&gt;="&amp;DATE(2026,12,21),Jumat!$A$7:$A$186,"&lt;="&amp;DATE(2026,12,27))</f>
        <v>0</v>
      </c>
      <c r="AB6" s="45">
        <f>SUMIFS(Senin!$H$7:$H$146,Senin!$C$7:$C$146,$B6,Senin!$A$7:$A$146,"&gt;="&amp;DATE(2026,12,28),Senin!$A$7:$A$146,"&lt;="&amp;DATE(2027,1,3))+SUMIFS(Selasa!$H$7:$H$166,Selasa!$C$7:$C$166,$B6,Selasa!$A$7:$A$166,"&gt;="&amp;DATE(2026,12,28),Selasa!$A$7:$A$166,"&lt;="&amp;DATE(2027,1,3))+SUMIFS(Rabu!$H$7:$H$206,Rabu!$C$7:$C$206,$B6,Rabu!$A$7:$A$206,"&gt;="&amp;DATE(2026,12,28),Rabu!$A$7:$A$206,"&lt;="&amp;DATE(2027,1,3))+SUMIFS(Kamis!$H$7:$H$186,Kamis!$C$7:$C$186,$B6,Kamis!$A$7:$A$186,"&gt;="&amp;DATE(2026,12,28),Kamis!$A$7:$A$186,"&lt;="&amp;DATE(2027,1,3))+SUMIFS(Jumat!$H$7:$H$186,Jumat!$C$7:$C$186,$B6,Jumat!$A$7:$A$186,"&gt;="&amp;DATE(2026,12,28),Jumat!$A$7:$A$186,"&lt;="&amp;DATE(2027,1,3))</f>
        <v>0</v>
      </c>
      <c r="AC6" s="45">
        <f>SUMIFS(Senin!$H$7:$H$146,Senin!$C$7:$C$146,$B6,Senin!$A$7:$A$146,"&gt;="&amp;DATE(2027,1,4),Senin!$A$7:$A$146,"&lt;="&amp;DATE(2027,1,10))+SUMIFS(Selasa!$H$7:$H$166,Selasa!$C$7:$C$166,$B6,Selasa!$A$7:$A$166,"&gt;="&amp;DATE(2027,1,4),Selasa!$A$7:$A$166,"&lt;="&amp;DATE(2027,1,10))+SUMIFS(Rabu!$H$7:$H$206,Rabu!$C$7:$C$206,$B6,Rabu!$A$7:$A$206,"&gt;="&amp;DATE(2027,1,4),Rabu!$A$7:$A$206,"&lt;="&amp;DATE(2027,1,10))+SUMIFS(Kamis!$H$7:$H$186,Kamis!$C$7:$C$186,$B6,Kamis!$A$7:$A$186,"&gt;="&amp;DATE(2027,1,4),Kamis!$A$7:$A$186,"&lt;="&amp;DATE(2027,1,10))+SUMIFS(Jumat!$H$7:$H$186,Jumat!$C$7:$C$186,$B6,Jumat!$A$7:$A$186,"&gt;="&amp;DATE(2027,1,4),Jumat!$A$7:$A$186,"&lt;="&amp;DATE(2027,1,10))</f>
        <v>0</v>
      </c>
      <c r="AD6" s="45">
        <f>SUMIFS(Senin!$H$7:$H$146,Senin!$C$7:$C$146,$B6,Senin!$A$7:$A$146,"&gt;="&amp;DATE(2027,1,11),Senin!$A$7:$A$146,"&lt;="&amp;DATE(2027,1,17))+SUMIFS(Selasa!$H$7:$H$166,Selasa!$C$7:$C$166,$B6,Selasa!$A$7:$A$166,"&gt;="&amp;DATE(2027,1,11),Selasa!$A$7:$A$166,"&lt;="&amp;DATE(2027,1,17))+SUMIFS(Rabu!$H$7:$H$206,Rabu!$C$7:$C$206,$B6,Rabu!$A$7:$A$206,"&gt;="&amp;DATE(2027,1,11),Rabu!$A$7:$A$206,"&lt;="&amp;DATE(2027,1,17))+SUMIFS(Kamis!$H$7:$H$186,Kamis!$C$7:$C$186,$B6,Kamis!$A$7:$A$186,"&gt;="&amp;DATE(2027,1,11),Kamis!$A$7:$A$186,"&lt;="&amp;DATE(2027,1,17))+SUMIFS(Jumat!$H$7:$H$186,Jumat!$C$7:$C$186,$B6,Jumat!$A$7:$A$186,"&gt;="&amp;DATE(2027,1,11),Jumat!$A$7:$A$186,"&lt;="&amp;DATE(2027,1,17))</f>
        <v>0</v>
      </c>
    </row>
    <row r="7" ht="14.25" customHeight="1">
      <c r="A7" s="27">
        <v>4.0</v>
      </c>
      <c r="B7" s="28" t="s">
        <v>58</v>
      </c>
      <c r="C7" s="41">
        <f>COUNTIFS(Senin!$C$7:$C$146,$B7,Senin!$G$7:$G$146,"Ya",Senin!$E$7:$E$146,"&lt;&gt;")+COUNTIFS(Selasa!$C$7:$C$166,$B7,Selasa!$G$7:$G$166,"Ya",Selasa!$E$7:$E$166,"&lt;&gt;")+COUNTIFS(Rabu!$C$7:$C$206,$B7,Rabu!$G$7:$G$206,"Ya",Rabu!$E$7:$E$206,"&lt;&gt;")+COUNTIFS(Kamis!$C$7:$C$186,$B7,Kamis!$G$7:$G$186,"Ya",Kamis!$E$7:$E$186,"&lt;&gt;")+COUNTIFS(Jumat!$C$7:$C$186,$B7,Jumat!$G$7:$G$186,"Ya",Jumat!$E$7:$E$186,"&lt;&gt;")</f>
        <v>0</v>
      </c>
      <c r="D7" s="41">
        <f>COUNTIFS(Senin!$C$7:$C$146,$B7,Senin!$G$7:$G$146,"Ya",Senin!$E$7:$E$146,"")+COUNTIFS(Selasa!$C$7:$C$166,$B7,Selasa!$G$7:$G$166,"Ya",Selasa!$E$7:$E$166,"")+COUNTIFS(Rabu!$C$7:$C$206,$B7,Rabu!$G$7:$G$206,"Ya",Rabu!$E$7:$E$206,"")+COUNTIFS(Kamis!$C$7:$C$186,$B7,Kamis!$G$7:$G$186,"Ya",Kamis!$E$7:$E$186,"")+COUNTIFS(Jumat!$C$7:$C$186,$B7,Jumat!$G$7:$G$186,"Ya",Jumat!$E$7:$E$186,"")</f>
        <v>0</v>
      </c>
      <c r="E7" s="45">
        <f>SUMIFS(Senin!$H$7:$H$146,Senin!$C$7:$C$146,$B7,Senin!$A$7:$A$146,"&gt;="&amp;DATE(2026,8,1),Senin!$A$7:$A$146,"&lt;="&amp;DATE(2026,12,31))+SUMIFS(Selasa!$H$7:$H$166,Selasa!$C$7:$C$166,$B7,Selasa!$A$7:$A$166,"&gt;="&amp;DATE(2026,8,1),Selasa!$A$7:$A$166,"&lt;="&amp;DATE(2026,12,31))+SUMIFS(Rabu!$H$7:$H$206,Rabu!$C$7:$C$206,$B7,Rabu!$A$7:$A$206,"&gt;="&amp;DATE(2026,8,1),Rabu!$A$7:$A$206,"&lt;="&amp;DATE(2026,12,31))+SUMIFS(Kamis!$H$7:$H$186,Kamis!$C$7:$C$186,$B7,Kamis!$A$7:$A$186,"&gt;="&amp;DATE(2026,8,1),Kamis!$A$7:$A$186,"&lt;="&amp;DATE(2026,12,31))+SUMIFS(Jumat!$H$7:$H$186,Jumat!$C$7:$C$186,$B7,Jumat!$A$7:$A$186,"&gt;="&amp;DATE(2026,8,1),Jumat!$A$7:$A$186,"&lt;="&amp;DATE(2026,12,31))</f>
        <v>0</v>
      </c>
      <c r="F7" s="45">
        <f>SUMIFS(Senin!$H$7:$H$146,Senin!$C$7:$C$146,$B7,Senin!$A$7:$A$146,"&gt;="&amp;DATE(2026,8,1),Senin!$A$7:$A$146,"&lt;="&amp;DATE(2026,8,31))+SUMIFS(Selasa!$H$7:$H$166,Selasa!$C$7:$C$166,$B7,Selasa!$A$7:$A$166,"&gt;="&amp;DATE(2026,8,1),Selasa!$A$7:$A$166,"&lt;="&amp;DATE(2026,8,31))+SUMIFS(Rabu!$H$7:$H$206,Rabu!$C$7:$C$206,$B7,Rabu!$A$7:$A$206,"&gt;="&amp;DATE(2026,8,1),Rabu!$A$7:$A$206,"&lt;="&amp;DATE(2026,8,31))+SUMIFS(Kamis!$H$7:$H$186,Kamis!$C$7:$C$186,$B7,Kamis!$A$7:$A$186,"&gt;="&amp;DATE(2026,8,1),Kamis!$A$7:$A$186,"&lt;="&amp;DATE(2026,8,31))+SUMIFS(Jumat!$H$7:$H$186,Jumat!$C$7:$C$186,$B7,Jumat!$A$7:$A$186,"&gt;="&amp;DATE(2026,8,1),Jumat!$A$7:$A$186,"&lt;="&amp;DATE(2026,8,31))</f>
        <v>0</v>
      </c>
      <c r="G7" s="45">
        <f>SUMIFS(Senin!$H$7:$H$146,Senin!$C$7:$C$146,$B7,Senin!$A$7:$A$146,"&gt;="&amp;DATE(2026,9,1),Senin!$A$7:$A$146,"&lt;="&amp;DATE(2026,9,30))+SUMIFS(Selasa!$H$7:$H$166,Selasa!$C$7:$C$166,$B7,Selasa!$A$7:$A$166,"&gt;="&amp;DATE(2026,9,1),Selasa!$A$7:$A$166,"&lt;="&amp;DATE(2026,9,30))+SUMIFS(Rabu!$H$7:$H$206,Rabu!$C$7:$C$206,$B7,Rabu!$A$7:$A$206,"&gt;="&amp;DATE(2026,9,1),Rabu!$A$7:$A$206,"&lt;="&amp;DATE(2026,9,30))+SUMIFS(Kamis!$H$7:$H$186,Kamis!$C$7:$C$186,$B7,Kamis!$A$7:$A$186,"&gt;="&amp;DATE(2026,9,1),Kamis!$A$7:$A$186,"&lt;="&amp;DATE(2026,9,30))+SUMIFS(Jumat!$H$7:$H$186,Jumat!$C$7:$C$186,$B7,Jumat!$A$7:$A$186,"&gt;="&amp;DATE(2026,9,1),Jumat!$A$7:$A$186,"&lt;="&amp;DATE(2026,9,30))</f>
        <v>0</v>
      </c>
      <c r="H7" s="45">
        <f>SUMIFS(Senin!$H$7:$H$146,Senin!$C$7:$C$146,$B7,Senin!$A$7:$A$146,"&gt;="&amp;DATE(2026,10,1),Senin!$A$7:$A$146,"&lt;="&amp;DATE(2026,10,31))+SUMIFS(Selasa!$H$7:$H$166,Selasa!$C$7:$C$166,$B7,Selasa!$A$7:$A$166,"&gt;="&amp;DATE(2026,10,1),Selasa!$A$7:$A$166,"&lt;="&amp;DATE(2026,10,31))+SUMIFS(Rabu!$H$7:$H$206,Rabu!$C$7:$C$206,$B7,Rabu!$A$7:$A$206,"&gt;="&amp;DATE(2026,10,1),Rabu!$A$7:$A$206,"&lt;="&amp;DATE(2026,10,31))+SUMIFS(Kamis!$H$7:$H$186,Kamis!$C$7:$C$186,$B7,Kamis!$A$7:$A$186,"&gt;="&amp;DATE(2026,10,1),Kamis!$A$7:$A$186,"&lt;="&amp;DATE(2026,10,31))+SUMIFS(Jumat!$H$7:$H$186,Jumat!$C$7:$C$186,$B7,Jumat!$A$7:$A$186,"&gt;="&amp;DATE(2026,10,1),Jumat!$A$7:$A$186,"&lt;="&amp;DATE(2026,10,31))</f>
        <v>0</v>
      </c>
      <c r="I7" s="45">
        <f>SUMIFS(Senin!$H$7:$H$146,Senin!$C$7:$C$146,$B7,Senin!$A$7:$A$146,"&gt;="&amp;DATE(2026,11,1),Senin!$A$7:$A$146,"&lt;="&amp;DATE(2026,11,30))+SUMIFS(Selasa!$H$7:$H$166,Selasa!$C$7:$C$166,$B7,Selasa!$A$7:$A$166,"&gt;="&amp;DATE(2026,11,1),Selasa!$A$7:$A$166,"&lt;="&amp;DATE(2026,11,30))+SUMIFS(Rabu!$H$7:$H$206,Rabu!$C$7:$C$206,$B7,Rabu!$A$7:$A$206,"&gt;="&amp;DATE(2026,11,1),Rabu!$A$7:$A$206,"&lt;="&amp;DATE(2026,11,30))+SUMIFS(Kamis!$H$7:$H$186,Kamis!$C$7:$C$186,$B7,Kamis!$A$7:$A$186,"&gt;="&amp;DATE(2026,11,1),Kamis!$A$7:$A$186,"&lt;="&amp;DATE(2026,11,30))+SUMIFS(Jumat!$H$7:$H$186,Jumat!$C$7:$C$186,$B7,Jumat!$A$7:$A$186,"&gt;="&amp;DATE(2026,11,1),Jumat!$A$7:$A$186,"&lt;="&amp;DATE(2026,11,30))</f>
        <v>0</v>
      </c>
      <c r="J7" s="45">
        <f>SUMIFS(Senin!$H$7:$H$146,Senin!$C$7:$C$146,$B7,Senin!$A$7:$A$146,"&gt;="&amp;DATE(2026,12,1),Senin!$A$7:$A$146,"&lt;="&amp;DATE(2026,12,31))+SUMIFS(Selasa!$H$7:$H$166,Selasa!$C$7:$C$166,$B7,Selasa!$A$7:$A$166,"&gt;="&amp;DATE(2026,12,1),Selasa!$A$7:$A$166,"&lt;="&amp;DATE(2026,12,31))+SUMIFS(Rabu!$H$7:$H$206,Rabu!$C$7:$C$206,$B7,Rabu!$A$7:$A$206,"&gt;="&amp;DATE(2026,12,1),Rabu!$A$7:$A$206,"&lt;="&amp;DATE(2026,12,31))+SUMIFS(Kamis!$H$7:$H$186,Kamis!$C$7:$C$186,$B7,Kamis!$A$7:$A$186,"&gt;="&amp;DATE(2026,12,1),Kamis!$A$7:$A$186,"&lt;="&amp;DATE(2026,12,31))+SUMIFS(Jumat!$H$7:$H$186,Jumat!$C$7:$C$186,$B7,Jumat!$A$7:$A$186,"&gt;="&amp;DATE(2026,12,1),Jumat!$A$7:$A$186,"&lt;="&amp;DATE(2026,12,31))</f>
        <v>0</v>
      </c>
      <c r="K7" s="45">
        <f>SUMIFS(Senin!$H$7:$H$146,Senin!$C$7:$C$146,$B7,Senin!$A$7:$A$146,"&gt;="&amp;DATE(2026,8,31),Senin!$A$7:$A$146,"&lt;="&amp;DATE(2026,9,6))+SUMIFS(Selasa!$H$7:$H$166,Selasa!$C$7:$C$166,$B7,Selasa!$A$7:$A$166,"&gt;="&amp;DATE(2026,8,31),Selasa!$A$7:$A$166,"&lt;="&amp;DATE(2026,9,6))+SUMIFS(Rabu!$H$7:$H$206,Rabu!$C$7:$C$206,$B7,Rabu!$A$7:$A$206,"&gt;="&amp;DATE(2026,8,31),Rabu!$A$7:$A$206,"&lt;="&amp;DATE(2026,9,6))+SUMIFS(Kamis!$H$7:$H$186,Kamis!$C$7:$C$186,$B7,Kamis!$A$7:$A$186,"&gt;="&amp;DATE(2026,8,31),Kamis!$A$7:$A$186,"&lt;="&amp;DATE(2026,9,6))+SUMIFS(Jumat!$H$7:$H$186,Jumat!$C$7:$C$186,$B7,Jumat!$A$7:$A$186,"&gt;="&amp;DATE(2026,8,31),Jumat!$A$7:$A$186,"&lt;="&amp;DATE(2026,9,6))</f>
        <v>0</v>
      </c>
      <c r="L7" s="45">
        <f>SUMIFS(Senin!$H$7:$H$146,Senin!$C$7:$C$146,$B7,Senin!$A$7:$A$146,"&gt;="&amp;DATE(2026,9,7),Senin!$A$7:$A$146,"&lt;="&amp;DATE(2026,9,13))+SUMIFS(Selasa!$H$7:$H$166,Selasa!$C$7:$C$166,$B7,Selasa!$A$7:$A$166,"&gt;="&amp;DATE(2026,9,7),Selasa!$A$7:$A$166,"&lt;="&amp;DATE(2026,9,13))+SUMIFS(Rabu!$H$7:$H$206,Rabu!$C$7:$C$206,$B7,Rabu!$A$7:$A$206,"&gt;="&amp;DATE(2026,9,7),Rabu!$A$7:$A$206,"&lt;="&amp;DATE(2026,9,13))+SUMIFS(Kamis!$H$7:$H$186,Kamis!$C$7:$C$186,$B7,Kamis!$A$7:$A$186,"&gt;="&amp;DATE(2026,9,7),Kamis!$A$7:$A$186,"&lt;="&amp;DATE(2026,9,13))+SUMIFS(Jumat!$H$7:$H$186,Jumat!$C$7:$C$186,$B7,Jumat!$A$7:$A$186,"&gt;="&amp;DATE(2026,9,7),Jumat!$A$7:$A$186,"&lt;="&amp;DATE(2026,9,13))</f>
        <v>0</v>
      </c>
      <c r="M7" s="45">
        <f>SUMIFS(Senin!$H$7:$H$146,Senin!$C$7:$C$146,$B7,Senin!$A$7:$A$146,"&gt;="&amp;DATE(2026,9,14),Senin!$A$7:$A$146,"&lt;="&amp;DATE(2026,9,20))+SUMIFS(Selasa!$H$7:$H$166,Selasa!$C$7:$C$166,$B7,Selasa!$A$7:$A$166,"&gt;="&amp;DATE(2026,9,14),Selasa!$A$7:$A$166,"&lt;="&amp;DATE(2026,9,20))+SUMIFS(Rabu!$H$7:$H$206,Rabu!$C$7:$C$206,$B7,Rabu!$A$7:$A$206,"&gt;="&amp;DATE(2026,9,14),Rabu!$A$7:$A$206,"&lt;="&amp;DATE(2026,9,20))+SUMIFS(Kamis!$H$7:$H$186,Kamis!$C$7:$C$186,$B7,Kamis!$A$7:$A$186,"&gt;="&amp;DATE(2026,9,14),Kamis!$A$7:$A$186,"&lt;="&amp;DATE(2026,9,20))+SUMIFS(Jumat!$H$7:$H$186,Jumat!$C$7:$C$186,$B7,Jumat!$A$7:$A$186,"&gt;="&amp;DATE(2026,9,14),Jumat!$A$7:$A$186,"&lt;="&amp;DATE(2026,9,20))</f>
        <v>0</v>
      </c>
      <c r="N7" s="45">
        <f>SUMIFS(Senin!$H$7:$H$146,Senin!$C$7:$C$146,$B7,Senin!$A$7:$A$146,"&gt;="&amp;DATE(2026,9,21),Senin!$A$7:$A$146,"&lt;="&amp;DATE(2026,9,27))+SUMIFS(Selasa!$H$7:$H$166,Selasa!$C$7:$C$166,$B7,Selasa!$A$7:$A$166,"&gt;="&amp;DATE(2026,9,21),Selasa!$A$7:$A$166,"&lt;="&amp;DATE(2026,9,27))+SUMIFS(Rabu!$H$7:$H$206,Rabu!$C$7:$C$206,$B7,Rabu!$A$7:$A$206,"&gt;="&amp;DATE(2026,9,21),Rabu!$A$7:$A$206,"&lt;="&amp;DATE(2026,9,27))+SUMIFS(Kamis!$H$7:$H$186,Kamis!$C$7:$C$186,$B7,Kamis!$A$7:$A$186,"&gt;="&amp;DATE(2026,9,21),Kamis!$A$7:$A$186,"&lt;="&amp;DATE(2026,9,27))+SUMIFS(Jumat!$H$7:$H$186,Jumat!$C$7:$C$186,$B7,Jumat!$A$7:$A$186,"&gt;="&amp;DATE(2026,9,21),Jumat!$A$7:$A$186,"&lt;="&amp;DATE(2026,9,27))</f>
        <v>0</v>
      </c>
      <c r="O7" s="45">
        <f>SUMIFS(Senin!$H$7:$H$146,Senin!$C$7:$C$146,$B7,Senin!$A$7:$A$146,"&gt;="&amp;DATE(2026,9,28),Senin!$A$7:$A$146,"&lt;="&amp;DATE(2026,10,4))+SUMIFS(Selasa!$H$7:$H$166,Selasa!$C$7:$C$166,$B7,Selasa!$A$7:$A$166,"&gt;="&amp;DATE(2026,9,28),Selasa!$A$7:$A$166,"&lt;="&amp;DATE(2026,10,4))+SUMIFS(Rabu!$H$7:$H$206,Rabu!$C$7:$C$206,$B7,Rabu!$A$7:$A$206,"&gt;="&amp;DATE(2026,9,28),Rabu!$A$7:$A$206,"&lt;="&amp;DATE(2026,10,4))+SUMIFS(Kamis!$H$7:$H$186,Kamis!$C$7:$C$186,$B7,Kamis!$A$7:$A$186,"&gt;="&amp;DATE(2026,9,28),Kamis!$A$7:$A$186,"&lt;="&amp;DATE(2026,10,4))+SUMIFS(Jumat!$H$7:$H$186,Jumat!$C$7:$C$186,$B7,Jumat!$A$7:$A$186,"&gt;="&amp;DATE(2026,9,28),Jumat!$A$7:$A$186,"&lt;="&amp;DATE(2026,10,4))</f>
        <v>0</v>
      </c>
      <c r="P7" s="45">
        <f>SUMIFS(Senin!$H$7:$H$146,Senin!$C$7:$C$146,$B7,Senin!$A$7:$A$146,"&gt;="&amp;DATE(2026,10,5),Senin!$A$7:$A$146,"&lt;="&amp;DATE(2026,10,11))+SUMIFS(Selasa!$H$7:$H$166,Selasa!$C$7:$C$166,$B7,Selasa!$A$7:$A$166,"&gt;="&amp;DATE(2026,10,5),Selasa!$A$7:$A$166,"&lt;="&amp;DATE(2026,10,11))+SUMIFS(Rabu!$H$7:$H$206,Rabu!$C$7:$C$206,$B7,Rabu!$A$7:$A$206,"&gt;="&amp;DATE(2026,10,5),Rabu!$A$7:$A$206,"&lt;="&amp;DATE(2026,10,11))+SUMIFS(Kamis!$H$7:$H$186,Kamis!$C$7:$C$186,$B7,Kamis!$A$7:$A$186,"&gt;="&amp;DATE(2026,10,5),Kamis!$A$7:$A$186,"&lt;="&amp;DATE(2026,10,11))+SUMIFS(Jumat!$H$7:$H$186,Jumat!$C$7:$C$186,$B7,Jumat!$A$7:$A$186,"&gt;="&amp;DATE(2026,10,5),Jumat!$A$7:$A$186,"&lt;="&amp;DATE(2026,10,11))</f>
        <v>0</v>
      </c>
      <c r="Q7" s="45">
        <f>SUMIFS(Senin!$H$7:$H$146,Senin!$C$7:$C$146,$B7,Senin!$A$7:$A$146,"&gt;="&amp;DATE(2026,10,12),Senin!$A$7:$A$146,"&lt;="&amp;DATE(2026,10,18))+SUMIFS(Selasa!$H$7:$H$166,Selasa!$C$7:$C$166,$B7,Selasa!$A$7:$A$166,"&gt;="&amp;DATE(2026,10,12),Selasa!$A$7:$A$166,"&lt;="&amp;DATE(2026,10,18))+SUMIFS(Rabu!$H$7:$H$206,Rabu!$C$7:$C$206,$B7,Rabu!$A$7:$A$206,"&gt;="&amp;DATE(2026,10,12),Rabu!$A$7:$A$206,"&lt;="&amp;DATE(2026,10,18))+SUMIFS(Kamis!$H$7:$H$186,Kamis!$C$7:$C$186,$B7,Kamis!$A$7:$A$186,"&gt;="&amp;DATE(2026,10,12),Kamis!$A$7:$A$186,"&lt;="&amp;DATE(2026,10,18))+SUMIFS(Jumat!$H$7:$H$186,Jumat!$C$7:$C$186,$B7,Jumat!$A$7:$A$186,"&gt;="&amp;DATE(2026,10,12),Jumat!$A$7:$A$186,"&lt;="&amp;DATE(2026,10,18))</f>
        <v>0</v>
      </c>
      <c r="R7" s="45">
        <f>SUMIFS(Senin!$H$7:$H$146,Senin!$C$7:$C$146,$B7,Senin!$A$7:$A$146,"&gt;="&amp;DATE(2026,10,19),Senin!$A$7:$A$146,"&lt;="&amp;DATE(2026,10,25))+SUMIFS(Selasa!$H$7:$H$166,Selasa!$C$7:$C$166,$B7,Selasa!$A$7:$A$166,"&gt;="&amp;DATE(2026,10,19),Selasa!$A$7:$A$166,"&lt;="&amp;DATE(2026,10,25))+SUMIFS(Rabu!$H$7:$H$206,Rabu!$C$7:$C$206,$B7,Rabu!$A$7:$A$206,"&gt;="&amp;DATE(2026,10,19),Rabu!$A$7:$A$206,"&lt;="&amp;DATE(2026,10,25))+SUMIFS(Kamis!$H$7:$H$186,Kamis!$C$7:$C$186,$B7,Kamis!$A$7:$A$186,"&gt;="&amp;DATE(2026,10,19),Kamis!$A$7:$A$186,"&lt;="&amp;DATE(2026,10,25))+SUMIFS(Jumat!$H$7:$H$186,Jumat!$C$7:$C$186,$B7,Jumat!$A$7:$A$186,"&gt;="&amp;DATE(2026,10,19),Jumat!$A$7:$A$186,"&lt;="&amp;DATE(2026,10,25))</f>
        <v>0</v>
      </c>
      <c r="S7" s="45">
        <f>SUMIFS(Senin!$H$7:$H$146,Senin!$C$7:$C$146,$B7,Senin!$A$7:$A$146,"&gt;="&amp;DATE(2026,10,26),Senin!$A$7:$A$146,"&lt;="&amp;DATE(2026,11,1))+SUMIFS(Selasa!$H$7:$H$166,Selasa!$C$7:$C$166,$B7,Selasa!$A$7:$A$166,"&gt;="&amp;DATE(2026,10,26),Selasa!$A$7:$A$166,"&lt;="&amp;DATE(2026,11,1))+SUMIFS(Rabu!$H$7:$H$206,Rabu!$C$7:$C$206,$B7,Rabu!$A$7:$A$206,"&gt;="&amp;DATE(2026,10,26),Rabu!$A$7:$A$206,"&lt;="&amp;DATE(2026,11,1))+SUMIFS(Kamis!$H$7:$H$186,Kamis!$C$7:$C$186,$B7,Kamis!$A$7:$A$186,"&gt;="&amp;DATE(2026,10,26),Kamis!$A$7:$A$186,"&lt;="&amp;DATE(2026,11,1))+SUMIFS(Jumat!$H$7:$H$186,Jumat!$C$7:$C$186,$B7,Jumat!$A$7:$A$186,"&gt;="&amp;DATE(2026,10,26),Jumat!$A$7:$A$186,"&lt;="&amp;DATE(2026,11,1))</f>
        <v>0</v>
      </c>
      <c r="T7" s="45">
        <f>SUMIFS(Senin!$H$7:$H$146,Senin!$C$7:$C$146,$B7,Senin!$A$7:$A$146,"&gt;="&amp;DATE(2026,11,2),Senin!$A$7:$A$146,"&lt;="&amp;DATE(2026,11,8))+SUMIFS(Selasa!$H$7:$H$166,Selasa!$C$7:$C$166,$B7,Selasa!$A$7:$A$166,"&gt;="&amp;DATE(2026,11,2),Selasa!$A$7:$A$166,"&lt;="&amp;DATE(2026,11,8))+SUMIFS(Rabu!$H$7:$H$206,Rabu!$C$7:$C$206,$B7,Rabu!$A$7:$A$206,"&gt;="&amp;DATE(2026,11,2),Rabu!$A$7:$A$206,"&lt;="&amp;DATE(2026,11,8))+SUMIFS(Kamis!$H$7:$H$186,Kamis!$C$7:$C$186,$B7,Kamis!$A$7:$A$186,"&gt;="&amp;DATE(2026,11,2),Kamis!$A$7:$A$186,"&lt;="&amp;DATE(2026,11,8))+SUMIFS(Jumat!$H$7:$H$186,Jumat!$C$7:$C$186,$B7,Jumat!$A$7:$A$186,"&gt;="&amp;DATE(2026,11,2),Jumat!$A$7:$A$186,"&lt;="&amp;DATE(2026,11,8))</f>
        <v>0</v>
      </c>
      <c r="U7" s="45">
        <f>SUMIFS(Senin!$H$7:$H$146,Senin!$C$7:$C$146,$B7,Senin!$A$7:$A$146,"&gt;="&amp;DATE(2026,11,9),Senin!$A$7:$A$146,"&lt;="&amp;DATE(2026,11,15))+SUMIFS(Selasa!$H$7:$H$166,Selasa!$C$7:$C$166,$B7,Selasa!$A$7:$A$166,"&gt;="&amp;DATE(2026,11,9),Selasa!$A$7:$A$166,"&lt;="&amp;DATE(2026,11,15))+SUMIFS(Rabu!$H$7:$H$206,Rabu!$C$7:$C$206,$B7,Rabu!$A$7:$A$206,"&gt;="&amp;DATE(2026,11,9),Rabu!$A$7:$A$206,"&lt;="&amp;DATE(2026,11,15))+SUMIFS(Kamis!$H$7:$H$186,Kamis!$C$7:$C$186,$B7,Kamis!$A$7:$A$186,"&gt;="&amp;DATE(2026,11,9),Kamis!$A$7:$A$186,"&lt;="&amp;DATE(2026,11,15))+SUMIFS(Jumat!$H$7:$H$186,Jumat!$C$7:$C$186,$B7,Jumat!$A$7:$A$186,"&gt;="&amp;DATE(2026,11,9),Jumat!$A$7:$A$186,"&lt;="&amp;DATE(2026,11,15))</f>
        <v>0</v>
      </c>
      <c r="V7" s="45">
        <f>SUMIFS(Senin!$H$7:$H$146,Senin!$C$7:$C$146,$B7,Senin!$A$7:$A$146,"&gt;="&amp;DATE(2026,11,16),Senin!$A$7:$A$146,"&lt;="&amp;DATE(2026,11,22))+SUMIFS(Selasa!$H$7:$H$166,Selasa!$C$7:$C$166,$B7,Selasa!$A$7:$A$166,"&gt;="&amp;DATE(2026,11,16),Selasa!$A$7:$A$166,"&lt;="&amp;DATE(2026,11,22))+SUMIFS(Rabu!$H$7:$H$206,Rabu!$C$7:$C$206,$B7,Rabu!$A$7:$A$206,"&gt;="&amp;DATE(2026,11,16),Rabu!$A$7:$A$206,"&lt;="&amp;DATE(2026,11,22))+SUMIFS(Kamis!$H$7:$H$186,Kamis!$C$7:$C$186,$B7,Kamis!$A$7:$A$186,"&gt;="&amp;DATE(2026,11,16),Kamis!$A$7:$A$186,"&lt;="&amp;DATE(2026,11,22))+SUMIFS(Jumat!$H$7:$H$186,Jumat!$C$7:$C$186,$B7,Jumat!$A$7:$A$186,"&gt;="&amp;DATE(2026,11,16),Jumat!$A$7:$A$186,"&lt;="&amp;DATE(2026,11,22))</f>
        <v>0</v>
      </c>
      <c r="W7" s="45">
        <f>SUMIFS(Senin!$H$7:$H$146,Senin!$C$7:$C$146,$B7,Senin!$A$7:$A$146,"&gt;="&amp;DATE(2026,11,23),Senin!$A$7:$A$146,"&lt;="&amp;DATE(2026,11,29))+SUMIFS(Selasa!$H$7:$H$166,Selasa!$C$7:$C$166,$B7,Selasa!$A$7:$A$166,"&gt;="&amp;DATE(2026,11,23),Selasa!$A$7:$A$166,"&lt;="&amp;DATE(2026,11,29))+SUMIFS(Rabu!$H$7:$H$206,Rabu!$C$7:$C$206,$B7,Rabu!$A$7:$A$206,"&gt;="&amp;DATE(2026,11,23),Rabu!$A$7:$A$206,"&lt;="&amp;DATE(2026,11,29))+SUMIFS(Kamis!$H$7:$H$186,Kamis!$C$7:$C$186,$B7,Kamis!$A$7:$A$186,"&gt;="&amp;DATE(2026,11,23),Kamis!$A$7:$A$186,"&lt;="&amp;DATE(2026,11,29))+SUMIFS(Jumat!$H$7:$H$186,Jumat!$C$7:$C$186,$B7,Jumat!$A$7:$A$186,"&gt;="&amp;DATE(2026,11,23),Jumat!$A$7:$A$186,"&lt;="&amp;DATE(2026,11,29))</f>
        <v>0</v>
      </c>
      <c r="X7" s="45">
        <f>SUMIFS(Senin!$H$7:$H$146,Senin!$C$7:$C$146,$B7,Senin!$A$7:$A$146,"&gt;="&amp;DATE(2026,11,30),Senin!$A$7:$A$146,"&lt;="&amp;DATE(2026,12,6))+SUMIFS(Selasa!$H$7:$H$166,Selasa!$C$7:$C$166,$B7,Selasa!$A$7:$A$166,"&gt;="&amp;DATE(2026,11,30),Selasa!$A$7:$A$166,"&lt;="&amp;DATE(2026,12,6))+SUMIFS(Rabu!$H$7:$H$206,Rabu!$C$7:$C$206,$B7,Rabu!$A$7:$A$206,"&gt;="&amp;DATE(2026,11,30),Rabu!$A$7:$A$206,"&lt;="&amp;DATE(2026,12,6))+SUMIFS(Kamis!$H$7:$H$186,Kamis!$C$7:$C$186,$B7,Kamis!$A$7:$A$186,"&gt;="&amp;DATE(2026,11,30),Kamis!$A$7:$A$186,"&lt;="&amp;DATE(2026,12,6))+SUMIFS(Jumat!$H$7:$H$186,Jumat!$C$7:$C$186,$B7,Jumat!$A$7:$A$186,"&gt;="&amp;DATE(2026,11,30),Jumat!$A$7:$A$186,"&lt;="&amp;DATE(2026,12,6))</f>
        <v>0</v>
      </c>
      <c r="Y7" s="45">
        <f>SUMIFS(Senin!$H$7:$H$146,Senin!$C$7:$C$146,$B7,Senin!$A$7:$A$146,"&gt;="&amp;DATE(2026,12,7),Senin!$A$7:$A$146,"&lt;="&amp;DATE(2026,12,13))+SUMIFS(Selasa!$H$7:$H$166,Selasa!$C$7:$C$166,$B7,Selasa!$A$7:$A$166,"&gt;="&amp;DATE(2026,12,7),Selasa!$A$7:$A$166,"&lt;="&amp;DATE(2026,12,13))+SUMIFS(Rabu!$H$7:$H$206,Rabu!$C$7:$C$206,$B7,Rabu!$A$7:$A$206,"&gt;="&amp;DATE(2026,12,7),Rabu!$A$7:$A$206,"&lt;="&amp;DATE(2026,12,13))+SUMIFS(Kamis!$H$7:$H$186,Kamis!$C$7:$C$186,$B7,Kamis!$A$7:$A$186,"&gt;="&amp;DATE(2026,12,7),Kamis!$A$7:$A$186,"&lt;="&amp;DATE(2026,12,13))+SUMIFS(Jumat!$H$7:$H$186,Jumat!$C$7:$C$186,$B7,Jumat!$A$7:$A$186,"&gt;="&amp;DATE(2026,12,7),Jumat!$A$7:$A$186,"&lt;="&amp;DATE(2026,12,13))</f>
        <v>0</v>
      </c>
      <c r="Z7" s="45">
        <f>SUMIFS(Senin!$H$7:$H$146,Senin!$C$7:$C$146,$B7,Senin!$A$7:$A$146,"&gt;="&amp;DATE(2026,12,14),Senin!$A$7:$A$146,"&lt;="&amp;DATE(2026,12,20))+SUMIFS(Selasa!$H$7:$H$166,Selasa!$C$7:$C$166,$B7,Selasa!$A$7:$A$166,"&gt;="&amp;DATE(2026,12,14),Selasa!$A$7:$A$166,"&lt;="&amp;DATE(2026,12,20))+SUMIFS(Rabu!$H$7:$H$206,Rabu!$C$7:$C$206,$B7,Rabu!$A$7:$A$206,"&gt;="&amp;DATE(2026,12,14),Rabu!$A$7:$A$206,"&lt;="&amp;DATE(2026,12,20))+SUMIFS(Kamis!$H$7:$H$186,Kamis!$C$7:$C$186,$B7,Kamis!$A$7:$A$186,"&gt;="&amp;DATE(2026,12,14),Kamis!$A$7:$A$186,"&lt;="&amp;DATE(2026,12,20))+SUMIFS(Jumat!$H$7:$H$186,Jumat!$C$7:$C$186,$B7,Jumat!$A$7:$A$186,"&gt;="&amp;DATE(2026,12,14),Jumat!$A$7:$A$186,"&lt;="&amp;DATE(2026,12,20))</f>
        <v>0</v>
      </c>
      <c r="AA7" s="45">
        <f>SUMIFS(Senin!$H$7:$H$146,Senin!$C$7:$C$146,$B7,Senin!$A$7:$A$146,"&gt;="&amp;DATE(2026,12,21),Senin!$A$7:$A$146,"&lt;="&amp;DATE(2026,12,27))+SUMIFS(Selasa!$H$7:$H$166,Selasa!$C$7:$C$166,$B7,Selasa!$A$7:$A$166,"&gt;="&amp;DATE(2026,12,21),Selasa!$A$7:$A$166,"&lt;="&amp;DATE(2026,12,27))+SUMIFS(Rabu!$H$7:$H$206,Rabu!$C$7:$C$206,$B7,Rabu!$A$7:$A$206,"&gt;="&amp;DATE(2026,12,21),Rabu!$A$7:$A$206,"&lt;="&amp;DATE(2026,12,27))+SUMIFS(Kamis!$H$7:$H$186,Kamis!$C$7:$C$186,$B7,Kamis!$A$7:$A$186,"&gt;="&amp;DATE(2026,12,21),Kamis!$A$7:$A$186,"&lt;="&amp;DATE(2026,12,27))+SUMIFS(Jumat!$H$7:$H$186,Jumat!$C$7:$C$186,$B7,Jumat!$A$7:$A$186,"&gt;="&amp;DATE(2026,12,21),Jumat!$A$7:$A$186,"&lt;="&amp;DATE(2026,12,27))</f>
        <v>0</v>
      </c>
      <c r="AB7" s="45">
        <f>SUMIFS(Senin!$H$7:$H$146,Senin!$C$7:$C$146,$B7,Senin!$A$7:$A$146,"&gt;="&amp;DATE(2026,12,28),Senin!$A$7:$A$146,"&lt;="&amp;DATE(2027,1,3))+SUMIFS(Selasa!$H$7:$H$166,Selasa!$C$7:$C$166,$B7,Selasa!$A$7:$A$166,"&gt;="&amp;DATE(2026,12,28),Selasa!$A$7:$A$166,"&lt;="&amp;DATE(2027,1,3))+SUMIFS(Rabu!$H$7:$H$206,Rabu!$C$7:$C$206,$B7,Rabu!$A$7:$A$206,"&gt;="&amp;DATE(2026,12,28),Rabu!$A$7:$A$206,"&lt;="&amp;DATE(2027,1,3))+SUMIFS(Kamis!$H$7:$H$186,Kamis!$C$7:$C$186,$B7,Kamis!$A$7:$A$186,"&gt;="&amp;DATE(2026,12,28),Kamis!$A$7:$A$186,"&lt;="&amp;DATE(2027,1,3))+SUMIFS(Jumat!$H$7:$H$186,Jumat!$C$7:$C$186,$B7,Jumat!$A$7:$A$186,"&gt;="&amp;DATE(2026,12,28),Jumat!$A$7:$A$186,"&lt;="&amp;DATE(2027,1,3))</f>
        <v>0</v>
      </c>
      <c r="AC7" s="45">
        <f>SUMIFS(Senin!$H$7:$H$146,Senin!$C$7:$C$146,$B7,Senin!$A$7:$A$146,"&gt;="&amp;DATE(2027,1,4),Senin!$A$7:$A$146,"&lt;="&amp;DATE(2027,1,10))+SUMIFS(Selasa!$H$7:$H$166,Selasa!$C$7:$C$166,$B7,Selasa!$A$7:$A$166,"&gt;="&amp;DATE(2027,1,4),Selasa!$A$7:$A$166,"&lt;="&amp;DATE(2027,1,10))+SUMIFS(Rabu!$H$7:$H$206,Rabu!$C$7:$C$206,$B7,Rabu!$A$7:$A$206,"&gt;="&amp;DATE(2027,1,4),Rabu!$A$7:$A$206,"&lt;="&amp;DATE(2027,1,10))+SUMIFS(Kamis!$H$7:$H$186,Kamis!$C$7:$C$186,$B7,Kamis!$A$7:$A$186,"&gt;="&amp;DATE(2027,1,4),Kamis!$A$7:$A$186,"&lt;="&amp;DATE(2027,1,10))+SUMIFS(Jumat!$H$7:$H$186,Jumat!$C$7:$C$186,$B7,Jumat!$A$7:$A$186,"&gt;="&amp;DATE(2027,1,4),Jumat!$A$7:$A$186,"&lt;="&amp;DATE(2027,1,10))</f>
        <v>0</v>
      </c>
      <c r="AD7" s="45">
        <f>SUMIFS(Senin!$H$7:$H$146,Senin!$C$7:$C$146,$B7,Senin!$A$7:$A$146,"&gt;="&amp;DATE(2027,1,11),Senin!$A$7:$A$146,"&lt;="&amp;DATE(2027,1,17))+SUMIFS(Selasa!$H$7:$H$166,Selasa!$C$7:$C$166,$B7,Selasa!$A$7:$A$166,"&gt;="&amp;DATE(2027,1,11),Selasa!$A$7:$A$166,"&lt;="&amp;DATE(2027,1,17))+SUMIFS(Rabu!$H$7:$H$206,Rabu!$C$7:$C$206,$B7,Rabu!$A$7:$A$206,"&gt;="&amp;DATE(2027,1,11),Rabu!$A$7:$A$206,"&lt;="&amp;DATE(2027,1,17))+SUMIFS(Kamis!$H$7:$H$186,Kamis!$C$7:$C$186,$B7,Kamis!$A$7:$A$186,"&gt;="&amp;DATE(2027,1,11),Kamis!$A$7:$A$186,"&lt;="&amp;DATE(2027,1,17))+SUMIFS(Jumat!$H$7:$H$186,Jumat!$C$7:$C$186,$B7,Jumat!$A$7:$A$186,"&gt;="&amp;DATE(2027,1,11),Jumat!$A$7:$A$186,"&lt;="&amp;DATE(2027,1,17))</f>
        <v>0</v>
      </c>
    </row>
    <row r="8" ht="14.25" customHeight="1">
      <c r="A8" s="27">
        <v>5.0</v>
      </c>
      <c r="B8" s="28" t="s">
        <v>23</v>
      </c>
      <c r="C8" s="41">
        <f>COUNTIFS(Senin!$C$7:$C$146,$B8,Senin!$G$7:$G$146,"Ya",Senin!$E$7:$E$146,"&lt;&gt;")+COUNTIFS(Selasa!$C$7:$C$166,$B8,Selasa!$G$7:$G$166,"Ya",Selasa!$E$7:$E$166,"&lt;&gt;")+COUNTIFS(Rabu!$C$7:$C$206,$B8,Rabu!$G$7:$G$206,"Ya",Rabu!$E$7:$E$206,"&lt;&gt;")+COUNTIFS(Kamis!$C$7:$C$186,$B8,Kamis!$G$7:$G$186,"Ya",Kamis!$E$7:$E$186,"&lt;&gt;")+COUNTIFS(Jumat!$C$7:$C$186,$B8,Jumat!$G$7:$G$186,"Ya",Jumat!$E$7:$E$186,"&lt;&gt;")</f>
        <v>0</v>
      </c>
      <c r="D8" s="41">
        <f>COUNTIFS(Senin!$C$7:$C$146,$B8,Senin!$G$7:$G$146,"Ya",Senin!$E$7:$E$146,"")+COUNTIFS(Selasa!$C$7:$C$166,$B8,Selasa!$G$7:$G$166,"Ya",Selasa!$E$7:$E$166,"")+COUNTIFS(Rabu!$C$7:$C$206,$B8,Rabu!$G$7:$G$206,"Ya",Rabu!$E$7:$E$206,"")+COUNTIFS(Kamis!$C$7:$C$186,$B8,Kamis!$G$7:$G$186,"Ya",Kamis!$E$7:$E$186,"")+COUNTIFS(Jumat!$C$7:$C$186,$B8,Jumat!$G$7:$G$186,"Ya",Jumat!$E$7:$E$186,"")</f>
        <v>0</v>
      </c>
      <c r="E8" s="45">
        <f>SUMIFS(Senin!$H$7:$H$146,Senin!$C$7:$C$146,$B8,Senin!$A$7:$A$146,"&gt;="&amp;DATE(2026,8,1),Senin!$A$7:$A$146,"&lt;="&amp;DATE(2026,12,31))+SUMIFS(Selasa!$H$7:$H$166,Selasa!$C$7:$C$166,$B8,Selasa!$A$7:$A$166,"&gt;="&amp;DATE(2026,8,1),Selasa!$A$7:$A$166,"&lt;="&amp;DATE(2026,12,31))+SUMIFS(Rabu!$H$7:$H$206,Rabu!$C$7:$C$206,$B8,Rabu!$A$7:$A$206,"&gt;="&amp;DATE(2026,8,1),Rabu!$A$7:$A$206,"&lt;="&amp;DATE(2026,12,31))+SUMIFS(Kamis!$H$7:$H$186,Kamis!$C$7:$C$186,$B8,Kamis!$A$7:$A$186,"&gt;="&amp;DATE(2026,8,1),Kamis!$A$7:$A$186,"&lt;="&amp;DATE(2026,12,31))+SUMIFS(Jumat!$H$7:$H$186,Jumat!$C$7:$C$186,$B8,Jumat!$A$7:$A$186,"&gt;="&amp;DATE(2026,8,1),Jumat!$A$7:$A$186,"&lt;="&amp;DATE(2026,12,31))</f>
        <v>0</v>
      </c>
      <c r="F8" s="45">
        <f>SUMIFS(Senin!$H$7:$H$146,Senin!$C$7:$C$146,$B8,Senin!$A$7:$A$146,"&gt;="&amp;DATE(2026,8,1),Senin!$A$7:$A$146,"&lt;="&amp;DATE(2026,8,31))+SUMIFS(Selasa!$H$7:$H$166,Selasa!$C$7:$C$166,$B8,Selasa!$A$7:$A$166,"&gt;="&amp;DATE(2026,8,1),Selasa!$A$7:$A$166,"&lt;="&amp;DATE(2026,8,31))+SUMIFS(Rabu!$H$7:$H$206,Rabu!$C$7:$C$206,$B8,Rabu!$A$7:$A$206,"&gt;="&amp;DATE(2026,8,1),Rabu!$A$7:$A$206,"&lt;="&amp;DATE(2026,8,31))+SUMIFS(Kamis!$H$7:$H$186,Kamis!$C$7:$C$186,$B8,Kamis!$A$7:$A$186,"&gt;="&amp;DATE(2026,8,1),Kamis!$A$7:$A$186,"&lt;="&amp;DATE(2026,8,31))+SUMIFS(Jumat!$H$7:$H$186,Jumat!$C$7:$C$186,$B8,Jumat!$A$7:$A$186,"&gt;="&amp;DATE(2026,8,1),Jumat!$A$7:$A$186,"&lt;="&amp;DATE(2026,8,31))</f>
        <v>0</v>
      </c>
      <c r="G8" s="45">
        <f>SUMIFS(Senin!$H$7:$H$146,Senin!$C$7:$C$146,$B8,Senin!$A$7:$A$146,"&gt;="&amp;DATE(2026,9,1),Senin!$A$7:$A$146,"&lt;="&amp;DATE(2026,9,30))+SUMIFS(Selasa!$H$7:$H$166,Selasa!$C$7:$C$166,$B8,Selasa!$A$7:$A$166,"&gt;="&amp;DATE(2026,9,1),Selasa!$A$7:$A$166,"&lt;="&amp;DATE(2026,9,30))+SUMIFS(Rabu!$H$7:$H$206,Rabu!$C$7:$C$206,$B8,Rabu!$A$7:$A$206,"&gt;="&amp;DATE(2026,9,1),Rabu!$A$7:$A$206,"&lt;="&amp;DATE(2026,9,30))+SUMIFS(Kamis!$H$7:$H$186,Kamis!$C$7:$C$186,$B8,Kamis!$A$7:$A$186,"&gt;="&amp;DATE(2026,9,1),Kamis!$A$7:$A$186,"&lt;="&amp;DATE(2026,9,30))+SUMIFS(Jumat!$H$7:$H$186,Jumat!$C$7:$C$186,$B8,Jumat!$A$7:$A$186,"&gt;="&amp;DATE(2026,9,1),Jumat!$A$7:$A$186,"&lt;="&amp;DATE(2026,9,30))</f>
        <v>0</v>
      </c>
      <c r="H8" s="45">
        <f>SUMIFS(Senin!$H$7:$H$146,Senin!$C$7:$C$146,$B8,Senin!$A$7:$A$146,"&gt;="&amp;DATE(2026,10,1),Senin!$A$7:$A$146,"&lt;="&amp;DATE(2026,10,31))+SUMIFS(Selasa!$H$7:$H$166,Selasa!$C$7:$C$166,$B8,Selasa!$A$7:$A$166,"&gt;="&amp;DATE(2026,10,1),Selasa!$A$7:$A$166,"&lt;="&amp;DATE(2026,10,31))+SUMIFS(Rabu!$H$7:$H$206,Rabu!$C$7:$C$206,$B8,Rabu!$A$7:$A$206,"&gt;="&amp;DATE(2026,10,1),Rabu!$A$7:$A$206,"&lt;="&amp;DATE(2026,10,31))+SUMIFS(Kamis!$H$7:$H$186,Kamis!$C$7:$C$186,$B8,Kamis!$A$7:$A$186,"&gt;="&amp;DATE(2026,10,1),Kamis!$A$7:$A$186,"&lt;="&amp;DATE(2026,10,31))+SUMIFS(Jumat!$H$7:$H$186,Jumat!$C$7:$C$186,$B8,Jumat!$A$7:$A$186,"&gt;="&amp;DATE(2026,10,1),Jumat!$A$7:$A$186,"&lt;="&amp;DATE(2026,10,31))</f>
        <v>0</v>
      </c>
      <c r="I8" s="45">
        <f>SUMIFS(Senin!$H$7:$H$146,Senin!$C$7:$C$146,$B8,Senin!$A$7:$A$146,"&gt;="&amp;DATE(2026,11,1),Senin!$A$7:$A$146,"&lt;="&amp;DATE(2026,11,30))+SUMIFS(Selasa!$H$7:$H$166,Selasa!$C$7:$C$166,$B8,Selasa!$A$7:$A$166,"&gt;="&amp;DATE(2026,11,1),Selasa!$A$7:$A$166,"&lt;="&amp;DATE(2026,11,30))+SUMIFS(Rabu!$H$7:$H$206,Rabu!$C$7:$C$206,$B8,Rabu!$A$7:$A$206,"&gt;="&amp;DATE(2026,11,1),Rabu!$A$7:$A$206,"&lt;="&amp;DATE(2026,11,30))+SUMIFS(Kamis!$H$7:$H$186,Kamis!$C$7:$C$186,$B8,Kamis!$A$7:$A$186,"&gt;="&amp;DATE(2026,11,1),Kamis!$A$7:$A$186,"&lt;="&amp;DATE(2026,11,30))+SUMIFS(Jumat!$H$7:$H$186,Jumat!$C$7:$C$186,$B8,Jumat!$A$7:$A$186,"&gt;="&amp;DATE(2026,11,1),Jumat!$A$7:$A$186,"&lt;="&amp;DATE(2026,11,30))</f>
        <v>0</v>
      </c>
      <c r="J8" s="45">
        <f>SUMIFS(Senin!$H$7:$H$146,Senin!$C$7:$C$146,$B8,Senin!$A$7:$A$146,"&gt;="&amp;DATE(2026,12,1),Senin!$A$7:$A$146,"&lt;="&amp;DATE(2026,12,31))+SUMIFS(Selasa!$H$7:$H$166,Selasa!$C$7:$C$166,$B8,Selasa!$A$7:$A$166,"&gt;="&amp;DATE(2026,12,1),Selasa!$A$7:$A$166,"&lt;="&amp;DATE(2026,12,31))+SUMIFS(Rabu!$H$7:$H$206,Rabu!$C$7:$C$206,$B8,Rabu!$A$7:$A$206,"&gt;="&amp;DATE(2026,12,1),Rabu!$A$7:$A$206,"&lt;="&amp;DATE(2026,12,31))+SUMIFS(Kamis!$H$7:$H$186,Kamis!$C$7:$C$186,$B8,Kamis!$A$7:$A$186,"&gt;="&amp;DATE(2026,12,1),Kamis!$A$7:$A$186,"&lt;="&amp;DATE(2026,12,31))+SUMIFS(Jumat!$H$7:$H$186,Jumat!$C$7:$C$186,$B8,Jumat!$A$7:$A$186,"&gt;="&amp;DATE(2026,12,1),Jumat!$A$7:$A$186,"&lt;="&amp;DATE(2026,12,31))</f>
        <v>0</v>
      </c>
      <c r="K8" s="45">
        <f>SUMIFS(Senin!$H$7:$H$146,Senin!$C$7:$C$146,$B8,Senin!$A$7:$A$146,"&gt;="&amp;DATE(2026,8,31),Senin!$A$7:$A$146,"&lt;="&amp;DATE(2026,9,6))+SUMIFS(Selasa!$H$7:$H$166,Selasa!$C$7:$C$166,$B8,Selasa!$A$7:$A$166,"&gt;="&amp;DATE(2026,8,31),Selasa!$A$7:$A$166,"&lt;="&amp;DATE(2026,9,6))+SUMIFS(Rabu!$H$7:$H$206,Rabu!$C$7:$C$206,$B8,Rabu!$A$7:$A$206,"&gt;="&amp;DATE(2026,8,31),Rabu!$A$7:$A$206,"&lt;="&amp;DATE(2026,9,6))+SUMIFS(Kamis!$H$7:$H$186,Kamis!$C$7:$C$186,$B8,Kamis!$A$7:$A$186,"&gt;="&amp;DATE(2026,8,31),Kamis!$A$7:$A$186,"&lt;="&amp;DATE(2026,9,6))+SUMIFS(Jumat!$H$7:$H$186,Jumat!$C$7:$C$186,$B8,Jumat!$A$7:$A$186,"&gt;="&amp;DATE(2026,8,31),Jumat!$A$7:$A$186,"&lt;="&amp;DATE(2026,9,6))</f>
        <v>0</v>
      </c>
      <c r="L8" s="45">
        <f>SUMIFS(Senin!$H$7:$H$146,Senin!$C$7:$C$146,$B8,Senin!$A$7:$A$146,"&gt;="&amp;DATE(2026,9,7),Senin!$A$7:$A$146,"&lt;="&amp;DATE(2026,9,13))+SUMIFS(Selasa!$H$7:$H$166,Selasa!$C$7:$C$166,$B8,Selasa!$A$7:$A$166,"&gt;="&amp;DATE(2026,9,7),Selasa!$A$7:$A$166,"&lt;="&amp;DATE(2026,9,13))+SUMIFS(Rabu!$H$7:$H$206,Rabu!$C$7:$C$206,$B8,Rabu!$A$7:$A$206,"&gt;="&amp;DATE(2026,9,7),Rabu!$A$7:$A$206,"&lt;="&amp;DATE(2026,9,13))+SUMIFS(Kamis!$H$7:$H$186,Kamis!$C$7:$C$186,$B8,Kamis!$A$7:$A$186,"&gt;="&amp;DATE(2026,9,7),Kamis!$A$7:$A$186,"&lt;="&amp;DATE(2026,9,13))+SUMIFS(Jumat!$H$7:$H$186,Jumat!$C$7:$C$186,$B8,Jumat!$A$7:$A$186,"&gt;="&amp;DATE(2026,9,7),Jumat!$A$7:$A$186,"&lt;="&amp;DATE(2026,9,13))</f>
        <v>0</v>
      </c>
      <c r="M8" s="45">
        <f>SUMIFS(Senin!$H$7:$H$146,Senin!$C$7:$C$146,$B8,Senin!$A$7:$A$146,"&gt;="&amp;DATE(2026,9,14),Senin!$A$7:$A$146,"&lt;="&amp;DATE(2026,9,20))+SUMIFS(Selasa!$H$7:$H$166,Selasa!$C$7:$C$166,$B8,Selasa!$A$7:$A$166,"&gt;="&amp;DATE(2026,9,14),Selasa!$A$7:$A$166,"&lt;="&amp;DATE(2026,9,20))+SUMIFS(Rabu!$H$7:$H$206,Rabu!$C$7:$C$206,$B8,Rabu!$A$7:$A$206,"&gt;="&amp;DATE(2026,9,14),Rabu!$A$7:$A$206,"&lt;="&amp;DATE(2026,9,20))+SUMIFS(Kamis!$H$7:$H$186,Kamis!$C$7:$C$186,$B8,Kamis!$A$7:$A$186,"&gt;="&amp;DATE(2026,9,14),Kamis!$A$7:$A$186,"&lt;="&amp;DATE(2026,9,20))+SUMIFS(Jumat!$H$7:$H$186,Jumat!$C$7:$C$186,$B8,Jumat!$A$7:$A$186,"&gt;="&amp;DATE(2026,9,14),Jumat!$A$7:$A$186,"&lt;="&amp;DATE(2026,9,20))</f>
        <v>0</v>
      </c>
      <c r="N8" s="45">
        <f>SUMIFS(Senin!$H$7:$H$146,Senin!$C$7:$C$146,$B8,Senin!$A$7:$A$146,"&gt;="&amp;DATE(2026,9,21),Senin!$A$7:$A$146,"&lt;="&amp;DATE(2026,9,27))+SUMIFS(Selasa!$H$7:$H$166,Selasa!$C$7:$C$166,$B8,Selasa!$A$7:$A$166,"&gt;="&amp;DATE(2026,9,21),Selasa!$A$7:$A$166,"&lt;="&amp;DATE(2026,9,27))+SUMIFS(Rabu!$H$7:$H$206,Rabu!$C$7:$C$206,$B8,Rabu!$A$7:$A$206,"&gt;="&amp;DATE(2026,9,21),Rabu!$A$7:$A$206,"&lt;="&amp;DATE(2026,9,27))+SUMIFS(Kamis!$H$7:$H$186,Kamis!$C$7:$C$186,$B8,Kamis!$A$7:$A$186,"&gt;="&amp;DATE(2026,9,21),Kamis!$A$7:$A$186,"&lt;="&amp;DATE(2026,9,27))+SUMIFS(Jumat!$H$7:$H$186,Jumat!$C$7:$C$186,$B8,Jumat!$A$7:$A$186,"&gt;="&amp;DATE(2026,9,21),Jumat!$A$7:$A$186,"&lt;="&amp;DATE(2026,9,27))</f>
        <v>0</v>
      </c>
      <c r="O8" s="45">
        <f>SUMIFS(Senin!$H$7:$H$146,Senin!$C$7:$C$146,$B8,Senin!$A$7:$A$146,"&gt;="&amp;DATE(2026,9,28),Senin!$A$7:$A$146,"&lt;="&amp;DATE(2026,10,4))+SUMIFS(Selasa!$H$7:$H$166,Selasa!$C$7:$C$166,$B8,Selasa!$A$7:$A$166,"&gt;="&amp;DATE(2026,9,28),Selasa!$A$7:$A$166,"&lt;="&amp;DATE(2026,10,4))+SUMIFS(Rabu!$H$7:$H$206,Rabu!$C$7:$C$206,$B8,Rabu!$A$7:$A$206,"&gt;="&amp;DATE(2026,9,28),Rabu!$A$7:$A$206,"&lt;="&amp;DATE(2026,10,4))+SUMIFS(Kamis!$H$7:$H$186,Kamis!$C$7:$C$186,$B8,Kamis!$A$7:$A$186,"&gt;="&amp;DATE(2026,9,28),Kamis!$A$7:$A$186,"&lt;="&amp;DATE(2026,10,4))+SUMIFS(Jumat!$H$7:$H$186,Jumat!$C$7:$C$186,$B8,Jumat!$A$7:$A$186,"&gt;="&amp;DATE(2026,9,28),Jumat!$A$7:$A$186,"&lt;="&amp;DATE(2026,10,4))</f>
        <v>0</v>
      </c>
      <c r="P8" s="45">
        <f>SUMIFS(Senin!$H$7:$H$146,Senin!$C$7:$C$146,$B8,Senin!$A$7:$A$146,"&gt;="&amp;DATE(2026,10,5),Senin!$A$7:$A$146,"&lt;="&amp;DATE(2026,10,11))+SUMIFS(Selasa!$H$7:$H$166,Selasa!$C$7:$C$166,$B8,Selasa!$A$7:$A$166,"&gt;="&amp;DATE(2026,10,5),Selasa!$A$7:$A$166,"&lt;="&amp;DATE(2026,10,11))+SUMIFS(Rabu!$H$7:$H$206,Rabu!$C$7:$C$206,$B8,Rabu!$A$7:$A$206,"&gt;="&amp;DATE(2026,10,5),Rabu!$A$7:$A$206,"&lt;="&amp;DATE(2026,10,11))+SUMIFS(Kamis!$H$7:$H$186,Kamis!$C$7:$C$186,$B8,Kamis!$A$7:$A$186,"&gt;="&amp;DATE(2026,10,5),Kamis!$A$7:$A$186,"&lt;="&amp;DATE(2026,10,11))+SUMIFS(Jumat!$H$7:$H$186,Jumat!$C$7:$C$186,$B8,Jumat!$A$7:$A$186,"&gt;="&amp;DATE(2026,10,5),Jumat!$A$7:$A$186,"&lt;="&amp;DATE(2026,10,11))</f>
        <v>0</v>
      </c>
      <c r="Q8" s="45">
        <f>SUMIFS(Senin!$H$7:$H$146,Senin!$C$7:$C$146,$B8,Senin!$A$7:$A$146,"&gt;="&amp;DATE(2026,10,12),Senin!$A$7:$A$146,"&lt;="&amp;DATE(2026,10,18))+SUMIFS(Selasa!$H$7:$H$166,Selasa!$C$7:$C$166,$B8,Selasa!$A$7:$A$166,"&gt;="&amp;DATE(2026,10,12),Selasa!$A$7:$A$166,"&lt;="&amp;DATE(2026,10,18))+SUMIFS(Rabu!$H$7:$H$206,Rabu!$C$7:$C$206,$B8,Rabu!$A$7:$A$206,"&gt;="&amp;DATE(2026,10,12),Rabu!$A$7:$A$206,"&lt;="&amp;DATE(2026,10,18))+SUMIFS(Kamis!$H$7:$H$186,Kamis!$C$7:$C$186,$B8,Kamis!$A$7:$A$186,"&gt;="&amp;DATE(2026,10,12),Kamis!$A$7:$A$186,"&lt;="&amp;DATE(2026,10,18))+SUMIFS(Jumat!$H$7:$H$186,Jumat!$C$7:$C$186,$B8,Jumat!$A$7:$A$186,"&gt;="&amp;DATE(2026,10,12),Jumat!$A$7:$A$186,"&lt;="&amp;DATE(2026,10,18))</f>
        <v>0</v>
      </c>
      <c r="R8" s="45">
        <f>SUMIFS(Senin!$H$7:$H$146,Senin!$C$7:$C$146,$B8,Senin!$A$7:$A$146,"&gt;="&amp;DATE(2026,10,19),Senin!$A$7:$A$146,"&lt;="&amp;DATE(2026,10,25))+SUMIFS(Selasa!$H$7:$H$166,Selasa!$C$7:$C$166,$B8,Selasa!$A$7:$A$166,"&gt;="&amp;DATE(2026,10,19),Selasa!$A$7:$A$166,"&lt;="&amp;DATE(2026,10,25))+SUMIFS(Rabu!$H$7:$H$206,Rabu!$C$7:$C$206,$B8,Rabu!$A$7:$A$206,"&gt;="&amp;DATE(2026,10,19),Rabu!$A$7:$A$206,"&lt;="&amp;DATE(2026,10,25))+SUMIFS(Kamis!$H$7:$H$186,Kamis!$C$7:$C$186,$B8,Kamis!$A$7:$A$186,"&gt;="&amp;DATE(2026,10,19),Kamis!$A$7:$A$186,"&lt;="&amp;DATE(2026,10,25))+SUMIFS(Jumat!$H$7:$H$186,Jumat!$C$7:$C$186,$B8,Jumat!$A$7:$A$186,"&gt;="&amp;DATE(2026,10,19),Jumat!$A$7:$A$186,"&lt;="&amp;DATE(2026,10,25))</f>
        <v>0</v>
      </c>
      <c r="S8" s="45">
        <f>SUMIFS(Senin!$H$7:$H$146,Senin!$C$7:$C$146,$B8,Senin!$A$7:$A$146,"&gt;="&amp;DATE(2026,10,26),Senin!$A$7:$A$146,"&lt;="&amp;DATE(2026,11,1))+SUMIFS(Selasa!$H$7:$H$166,Selasa!$C$7:$C$166,$B8,Selasa!$A$7:$A$166,"&gt;="&amp;DATE(2026,10,26),Selasa!$A$7:$A$166,"&lt;="&amp;DATE(2026,11,1))+SUMIFS(Rabu!$H$7:$H$206,Rabu!$C$7:$C$206,$B8,Rabu!$A$7:$A$206,"&gt;="&amp;DATE(2026,10,26),Rabu!$A$7:$A$206,"&lt;="&amp;DATE(2026,11,1))+SUMIFS(Kamis!$H$7:$H$186,Kamis!$C$7:$C$186,$B8,Kamis!$A$7:$A$186,"&gt;="&amp;DATE(2026,10,26),Kamis!$A$7:$A$186,"&lt;="&amp;DATE(2026,11,1))+SUMIFS(Jumat!$H$7:$H$186,Jumat!$C$7:$C$186,$B8,Jumat!$A$7:$A$186,"&gt;="&amp;DATE(2026,10,26),Jumat!$A$7:$A$186,"&lt;="&amp;DATE(2026,11,1))</f>
        <v>0</v>
      </c>
      <c r="T8" s="45">
        <f>SUMIFS(Senin!$H$7:$H$146,Senin!$C$7:$C$146,$B8,Senin!$A$7:$A$146,"&gt;="&amp;DATE(2026,11,2),Senin!$A$7:$A$146,"&lt;="&amp;DATE(2026,11,8))+SUMIFS(Selasa!$H$7:$H$166,Selasa!$C$7:$C$166,$B8,Selasa!$A$7:$A$166,"&gt;="&amp;DATE(2026,11,2),Selasa!$A$7:$A$166,"&lt;="&amp;DATE(2026,11,8))+SUMIFS(Rabu!$H$7:$H$206,Rabu!$C$7:$C$206,$B8,Rabu!$A$7:$A$206,"&gt;="&amp;DATE(2026,11,2),Rabu!$A$7:$A$206,"&lt;="&amp;DATE(2026,11,8))+SUMIFS(Kamis!$H$7:$H$186,Kamis!$C$7:$C$186,$B8,Kamis!$A$7:$A$186,"&gt;="&amp;DATE(2026,11,2),Kamis!$A$7:$A$186,"&lt;="&amp;DATE(2026,11,8))+SUMIFS(Jumat!$H$7:$H$186,Jumat!$C$7:$C$186,$B8,Jumat!$A$7:$A$186,"&gt;="&amp;DATE(2026,11,2),Jumat!$A$7:$A$186,"&lt;="&amp;DATE(2026,11,8))</f>
        <v>0</v>
      </c>
      <c r="U8" s="45">
        <f>SUMIFS(Senin!$H$7:$H$146,Senin!$C$7:$C$146,$B8,Senin!$A$7:$A$146,"&gt;="&amp;DATE(2026,11,9),Senin!$A$7:$A$146,"&lt;="&amp;DATE(2026,11,15))+SUMIFS(Selasa!$H$7:$H$166,Selasa!$C$7:$C$166,$B8,Selasa!$A$7:$A$166,"&gt;="&amp;DATE(2026,11,9),Selasa!$A$7:$A$166,"&lt;="&amp;DATE(2026,11,15))+SUMIFS(Rabu!$H$7:$H$206,Rabu!$C$7:$C$206,$B8,Rabu!$A$7:$A$206,"&gt;="&amp;DATE(2026,11,9),Rabu!$A$7:$A$206,"&lt;="&amp;DATE(2026,11,15))+SUMIFS(Kamis!$H$7:$H$186,Kamis!$C$7:$C$186,$B8,Kamis!$A$7:$A$186,"&gt;="&amp;DATE(2026,11,9),Kamis!$A$7:$A$186,"&lt;="&amp;DATE(2026,11,15))+SUMIFS(Jumat!$H$7:$H$186,Jumat!$C$7:$C$186,$B8,Jumat!$A$7:$A$186,"&gt;="&amp;DATE(2026,11,9),Jumat!$A$7:$A$186,"&lt;="&amp;DATE(2026,11,15))</f>
        <v>0</v>
      </c>
      <c r="V8" s="45">
        <f>SUMIFS(Senin!$H$7:$H$146,Senin!$C$7:$C$146,$B8,Senin!$A$7:$A$146,"&gt;="&amp;DATE(2026,11,16),Senin!$A$7:$A$146,"&lt;="&amp;DATE(2026,11,22))+SUMIFS(Selasa!$H$7:$H$166,Selasa!$C$7:$C$166,$B8,Selasa!$A$7:$A$166,"&gt;="&amp;DATE(2026,11,16),Selasa!$A$7:$A$166,"&lt;="&amp;DATE(2026,11,22))+SUMIFS(Rabu!$H$7:$H$206,Rabu!$C$7:$C$206,$B8,Rabu!$A$7:$A$206,"&gt;="&amp;DATE(2026,11,16),Rabu!$A$7:$A$206,"&lt;="&amp;DATE(2026,11,22))+SUMIFS(Kamis!$H$7:$H$186,Kamis!$C$7:$C$186,$B8,Kamis!$A$7:$A$186,"&gt;="&amp;DATE(2026,11,16),Kamis!$A$7:$A$186,"&lt;="&amp;DATE(2026,11,22))+SUMIFS(Jumat!$H$7:$H$186,Jumat!$C$7:$C$186,$B8,Jumat!$A$7:$A$186,"&gt;="&amp;DATE(2026,11,16),Jumat!$A$7:$A$186,"&lt;="&amp;DATE(2026,11,22))</f>
        <v>0</v>
      </c>
      <c r="W8" s="45">
        <f>SUMIFS(Senin!$H$7:$H$146,Senin!$C$7:$C$146,$B8,Senin!$A$7:$A$146,"&gt;="&amp;DATE(2026,11,23),Senin!$A$7:$A$146,"&lt;="&amp;DATE(2026,11,29))+SUMIFS(Selasa!$H$7:$H$166,Selasa!$C$7:$C$166,$B8,Selasa!$A$7:$A$166,"&gt;="&amp;DATE(2026,11,23),Selasa!$A$7:$A$166,"&lt;="&amp;DATE(2026,11,29))+SUMIFS(Rabu!$H$7:$H$206,Rabu!$C$7:$C$206,$B8,Rabu!$A$7:$A$206,"&gt;="&amp;DATE(2026,11,23),Rabu!$A$7:$A$206,"&lt;="&amp;DATE(2026,11,29))+SUMIFS(Kamis!$H$7:$H$186,Kamis!$C$7:$C$186,$B8,Kamis!$A$7:$A$186,"&gt;="&amp;DATE(2026,11,23),Kamis!$A$7:$A$186,"&lt;="&amp;DATE(2026,11,29))+SUMIFS(Jumat!$H$7:$H$186,Jumat!$C$7:$C$186,$B8,Jumat!$A$7:$A$186,"&gt;="&amp;DATE(2026,11,23),Jumat!$A$7:$A$186,"&lt;="&amp;DATE(2026,11,29))</f>
        <v>0</v>
      </c>
      <c r="X8" s="45">
        <f>SUMIFS(Senin!$H$7:$H$146,Senin!$C$7:$C$146,$B8,Senin!$A$7:$A$146,"&gt;="&amp;DATE(2026,11,30),Senin!$A$7:$A$146,"&lt;="&amp;DATE(2026,12,6))+SUMIFS(Selasa!$H$7:$H$166,Selasa!$C$7:$C$166,$B8,Selasa!$A$7:$A$166,"&gt;="&amp;DATE(2026,11,30),Selasa!$A$7:$A$166,"&lt;="&amp;DATE(2026,12,6))+SUMIFS(Rabu!$H$7:$H$206,Rabu!$C$7:$C$206,$B8,Rabu!$A$7:$A$206,"&gt;="&amp;DATE(2026,11,30),Rabu!$A$7:$A$206,"&lt;="&amp;DATE(2026,12,6))+SUMIFS(Kamis!$H$7:$H$186,Kamis!$C$7:$C$186,$B8,Kamis!$A$7:$A$186,"&gt;="&amp;DATE(2026,11,30),Kamis!$A$7:$A$186,"&lt;="&amp;DATE(2026,12,6))+SUMIFS(Jumat!$H$7:$H$186,Jumat!$C$7:$C$186,$B8,Jumat!$A$7:$A$186,"&gt;="&amp;DATE(2026,11,30),Jumat!$A$7:$A$186,"&lt;="&amp;DATE(2026,12,6))</f>
        <v>0</v>
      </c>
      <c r="Y8" s="45">
        <f>SUMIFS(Senin!$H$7:$H$146,Senin!$C$7:$C$146,$B8,Senin!$A$7:$A$146,"&gt;="&amp;DATE(2026,12,7),Senin!$A$7:$A$146,"&lt;="&amp;DATE(2026,12,13))+SUMIFS(Selasa!$H$7:$H$166,Selasa!$C$7:$C$166,$B8,Selasa!$A$7:$A$166,"&gt;="&amp;DATE(2026,12,7),Selasa!$A$7:$A$166,"&lt;="&amp;DATE(2026,12,13))+SUMIFS(Rabu!$H$7:$H$206,Rabu!$C$7:$C$206,$B8,Rabu!$A$7:$A$206,"&gt;="&amp;DATE(2026,12,7),Rabu!$A$7:$A$206,"&lt;="&amp;DATE(2026,12,13))+SUMIFS(Kamis!$H$7:$H$186,Kamis!$C$7:$C$186,$B8,Kamis!$A$7:$A$186,"&gt;="&amp;DATE(2026,12,7),Kamis!$A$7:$A$186,"&lt;="&amp;DATE(2026,12,13))+SUMIFS(Jumat!$H$7:$H$186,Jumat!$C$7:$C$186,$B8,Jumat!$A$7:$A$186,"&gt;="&amp;DATE(2026,12,7),Jumat!$A$7:$A$186,"&lt;="&amp;DATE(2026,12,13))</f>
        <v>0</v>
      </c>
      <c r="Z8" s="45">
        <f>SUMIFS(Senin!$H$7:$H$146,Senin!$C$7:$C$146,$B8,Senin!$A$7:$A$146,"&gt;="&amp;DATE(2026,12,14),Senin!$A$7:$A$146,"&lt;="&amp;DATE(2026,12,20))+SUMIFS(Selasa!$H$7:$H$166,Selasa!$C$7:$C$166,$B8,Selasa!$A$7:$A$166,"&gt;="&amp;DATE(2026,12,14),Selasa!$A$7:$A$166,"&lt;="&amp;DATE(2026,12,20))+SUMIFS(Rabu!$H$7:$H$206,Rabu!$C$7:$C$206,$B8,Rabu!$A$7:$A$206,"&gt;="&amp;DATE(2026,12,14),Rabu!$A$7:$A$206,"&lt;="&amp;DATE(2026,12,20))+SUMIFS(Kamis!$H$7:$H$186,Kamis!$C$7:$C$186,$B8,Kamis!$A$7:$A$186,"&gt;="&amp;DATE(2026,12,14),Kamis!$A$7:$A$186,"&lt;="&amp;DATE(2026,12,20))+SUMIFS(Jumat!$H$7:$H$186,Jumat!$C$7:$C$186,$B8,Jumat!$A$7:$A$186,"&gt;="&amp;DATE(2026,12,14),Jumat!$A$7:$A$186,"&lt;="&amp;DATE(2026,12,20))</f>
        <v>0</v>
      </c>
      <c r="AA8" s="45">
        <f>SUMIFS(Senin!$H$7:$H$146,Senin!$C$7:$C$146,$B8,Senin!$A$7:$A$146,"&gt;="&amp;DATE(2026,12,21),Senin!$A$7:$A$146,"&lt;="&amp;DATE(2026,12,27))+SUMIFS(Selasa!$H$7:$H$166,Selasa!$C$7:$C$166,$B8,Selasa!$A$7:$A$166,"&gt;="&amp;DATE(2026,12,21),Selasa!$A$7:$A$166,"&lt;="&amp;DATE(2026,12,27))+SUMIFS(Rabu!$H$7:$H$206,Rabu!$C$7:$C$206,$B8,Rabu!$A$7:$A$206,"&gt;="&amp;DATE(2026,12,21),Rabu!$A$7:$A$206,"&lt;="&amp;DATE(2026,12,27))+SUMIFS(Kamis!$H$7:$H$186,Kamis!$C$7:$C$186,$B8,Kamis!$A$7:$A$186,"&gt;="&amp;DATE(2026,12,21),Kamis!$A$7:$A$186,"&lt;="&amp;DATE(2026,12,27))+SUMIFS(Jumat!$H$7:$H$186,Jumat!$C$7:$C$186,$B8,Jumat!$A$7:$A$186,"&gt;="&amp;DATE(2026,12,21),Jumat!$A$7:$A$186,"&lt;="&amp;DATE(2026,12,27))</f>
        <v>0</v>
      </c>
      <c r="AB8" s="45">
        <f>SUMIFS(Senin!$H$7:$H$146,Senin!$C$7:$C$146,$B8,Senin!$A$7:$A$146,"&gt;="&amp;DATE(2026,12,28),Senin!$A$7:$A$146,"&lt;="&amp;DATE(2027,1,3))+SUMIFS(Selasa!$H$7:$H$166,Selasa!$C$7:$C$166,$B8,Selasa!$A$7:$A$166,"&gt;="&amp;DATE(2026,12,28),Selasa!$A$7:$A$166,"&lt;="&amp;DATE(2027,1,3))+SUMIFS(Rabu!$H$7:$H$206,Rabu!$C$7:$C$206,$B8,Rabu!$A$7:$A$206,"&gt;="&amp;DATE(2026,12,28),Rabu!$A$7:$A$206,"&lt;="&amp;DATE(2027,1,3))+SUMIFS(Kamis!$H$7:$H$186,Kamis!$C$7:$C$186,$B8,Kamis!$A$7:$A$186,"&gt;="&amp;DATE(2026,12,28),Kamis!$A$7:$A$186,"&lt;="&amp;DATE(2027,1,3))+SUMIFS(Jumat!$H$7:$H$186,Jumat!$C$7:$C$186,$B8,Jumat!$A$7:$A$186,"&gt;="&amp;DATE(2026,12,28),Jumat!$A$7:$A$186,"&lt;="&amp;DATE(2027,1,3))</f>
        <v>0</v>
      </c>
      <c r="AC8" s="45">
        <f>SUMIFS(Senin!$H$7:$H$146,Senin!$C$7:$C$146,$B8,Senin!$A$7:$A$146,"&gt;="&amp;DATE(2027,1,4),Senin!$A$7:$A$146,"&lt;="&amp;DATE(2027,1,10))+SUMIFS(Selasa!$H$7:$H$166,Selasa!$C$7:$C$166,$B8,Selasa!$A$7:$A$166,"&gt;="&amp;DATE(2027,1,4),Selasa!$A$7:$A$166,"&lt;="&amp;DATE(2027,1,10))+SUMIFS(Rabu!$H$7:$H$206,Rabu!$C$7:$C$206,$B8,Rabu!$A$7:$A$206,"&gt;="&amp;DATE(2027,1,4),Rabu!$A$7:$A$206,"&lt;="&amp;DATE(2027,1,10))+SUMIFS(Kamis!$H$7:$H$186,Kamis!$C$7:$C$186,$B8,Kamis!$A$7:$A$186,"&gt;="&amp;DATE(2027,1,4),Kamis!$A$7:$A$186,"&lt;="&amp;DATE(2027,1,10))+SUMIFS(Jumat!$H$7:$H$186,Jumat!$C$7:$C$186,$B8,Jumat!$A$7:$A$186,"&gt;="&amp;DATE(2027,1,4),Jumat!$A$7:$A$186,"&lt;="&amp;DATE(2027,1,10))</f>
        <v>0</v>
      </c>
      <c r="AD8" s="45">
        <f>SUMIFS(Senin!$H$7:$H$146,Senin!$C$7:$C$146,$B8,Senin!$A$7:$A$146,"&gt;="&amp;DATE(2027,1,11),Senin!$A$7:$A$146,"&lt;="&amp;DATE(2027,1,17))+SUMIFS(Selasa!$H$7:$H$166,Selasa!$C$7:$C$166,$B8,Selasa!$A$7:$A$166,"&gt;="&amp;DATE(2027,1,11),Selasa!$A$7:$A$166,"&lt;="&amp;DATE(2027,1,17))+SUMIFS(Rabu!$H$7:$H$206,Rabu!$C$7:$C$206,$B8,Rabu!$A$7:$A$206,"&gt;="&amp;DATE(2027,1,11),Rabu!$A$7:$A$206,"&lt;="&amp;DATE(2027,1,17))+SUMIFS(Kamis!$H$7:$H$186,Kamis!$C$7:$C$186,$B8,Kamis!$A$7:$A$186,"&gt;="&amp;DATE(2027,1,11),Kamis!$A$7:$A$186,"&lt;="&amp;DATE(2027,1,17))+SUMIFS(Jumat!$H$7:$H$186,Jumat!$C$7:$C$186,$B8,Jumat!$A$7:$A$186,"&gt;="&amp;DATE(2027,1,11),Jumat!$A$7:$A$186,"&lt;="&amp;DATE(2027,1,17))</f>
        <v>0</v>
      </c>
    </row>
    <row r="9" ht="14.25" customHeight="1">
      <c r="A9" s="27">
        <v>6.0</v>
      </c>
      <c r="B9" s="28" t="s">
        <v>40</v>
      </c>
      <c r="C9" s="41">
        <f>COUNTIFS(Senin!$C$7:$C$146,$B9,Senin!$G$7:$G$146,"Ya",Senin!$E$7:$E$146,"&lt;&gt;")+COUNTIFS(Selasa!$C$7:$C$166,$B9,Selasa!$G$7:$G$166,"Ya",Selasa!$E$7:$E$166,"&lt;&gt;")+COUNTIFS(Rabu!$C$7:$C$206,$B9,Rabu!$G$7:$G$206,"Ya",Rabu!$E$7:$E$206,"&lt;&gt;")+COUNTIFS(Kamis!$C$7:$C$186,$B9,Kamis!$G$7:$G$186,"Ya",Kamis!$E$7:$E$186,"&lt;&gt;")+COUNTIFS(Jumat!$C$7:$C$186,$B9,Jumat!$G$7:$G$186,"Ya",Jumat!$E$7:$E$186,"&lt;&gt;")</f>
        <v>0</v>
      </c>
      <c r="D9" s="41">
        <f>COUNTIFS(Senin!$C$7:$C$146,$B9,Senin!$G$7:$G$146,"Ya",Senin!$E$7:$E$146,"")+COUNTIFS(Selasa!$C$7:$C$166,$B9,Selasa!$G$7:$G$166,"Ya",Selasa!$E$7:$E$166,"")+COUNTIFS(Rabu!$C$7:$C$206,$B9,Rabu!$G$7:$G$206,"Ya",Rabu!$E$7:$E$206,"")+COUNTIFS(Kamis!$C$7:$C$186,$B9,Kamis!$G$7:$G$186,"Ya",Kamis!$E$7:$E$186,"")+COUNTIFS(Jumat!$C$7:$C$186,$B9,Jumat!$G$7:$G$186,"Ya",Jumat!$E$7:$E$186,"")</f>
        <v>0</v>
      </c>
      <c r="E9" s="45">
        <f>SUMIFS(Senin!$H$7:$H$146,Senin!$C$7:$C$146,$B9,Senin!$A$7:$A$146,"&gt;="&amp;DATE(2026,8,1),Senin!$A$7:$A$146,"&lt;="&amp;DATE(2026,12,31))+SUMIFS(Selasa!$H$7:$H$166,Selasa!$C$7:$C$166,$B9,Selasa!$A$7:$A$166,"&gt;="&amp;DATE(2026,8,1),Selasa!$A$7:$A$166,"&lt;="&amp;DATE(2026,12,31))+SUMIFS(Rabu!$H$7:$H$206,Rabu!$C$7:$C$206,$B9,Rabu!$A$7:$A$206,"&gt;="&amp;DATE(2026,8,1),Rabu!$A$7:$A$206,"&lt;="&amp;DATE(2026,12,31))+SUMIFS(Kamis!$H$7:$H$186,Kamis!$C$7:$C$186,$B9,Kamis!$A$7:$A$186,"&gt;="&amp;DATE(2026,8,1),Kamis!$A$7:$A$186,"&lt;="&amp;DATE(2026,12,31))+SUMIFS(Jumat!$H$7:$H$186,Jumat!$C$7:$C$186,$B9,Jumat!$A$7:$A$186,"&gt;="&amp;DATE(2026,8,1),Jumat!$A$7:$A$186,"&lt;="&amp;DATE(2026,12,31))</f>
        <v>0</v>
      </c>
      <c r="F9" s="45">
        <f>SUMIFS(Senin!$H$7:$H$146,Senin!$C$7:$C$146,$B9,Senin!$A$7:$A$146,"&gt;="&amp;DATE(2026,8,1),Senin!$A$7:$A$146,"&lt;="&amp;DATE(2026,8,31))+SUMIFS(Selasa!$H$7:$H$166,Selasa!$C$7:$C$166,$B9,Selasa!$A$7:$A$166,"&gt;="&amp;DATE(2026,8,1),Selasa!$A$7:$A$166,"&lt;="&amp;DATE(2026,8,31))+SUMIFS(Rabu!$H$7:$H$206,Rabu!$C$7:$C$206,$B9,Rabu!$A$7:$A$206,"&gt;="&amp;DATE(2026,8,1),Rabu!$A$7:$A$206,"&lt;="&amp;DATE(2026,8,31))+SUMIFS(Kamis!$H$7:$H$186,Kamis!$C$7:$C$186,$B9,Kamis!$A$7:$A$186,"&gt;="&amp;DATE(2026,8,1),Kamis!$A$7:$A$186,"&lt;="&amp;DATE(2026,8,31))+SUMIFS(Jumat!$H$7:$H$186,Jumat!$C$7:$C$186,$B9,Jumat!$A$7:$A$186,"&gt;="&amp;DATE(2026,8,1),Jumat!$A$7:$A$186,"&lt;="&amp;DATE(2026,8,31))</f>
        <v>0</v>
      </c>
      <c r="G9" s="45">
        <f>SUMIFS(Senin!$H$7:$H$146,Senin!$C$7:$C$146,$B9,Senin!$A$7:$A$146,"&gt;="&amp;DATE(2026,9,1),Senin!$A$7:$A$146,"&lt;="&amp;DATE(2026,9,30))+SUMIFS(Selasa!$H$7:$H$166,Selasa!$C$7:$C$166,$B9,Selasa!$A$7:$A$166,"&gt;="&amp;DATE(2026,9,1),Selasa!$A$7:$A$166,"&lt;="&amp;DATE(2026,9,30))+SUMIFS(Rabu!$H$7:$H$206,Rabu!$C$7:$C$206,$B9,Rabu!$A$7:$A$206,"&gt;="&amp;DATE(2026,9,1),Rabu!$A$7:$A$206,"&lt;="&amp;DATE(2026,9,30))+SUMIFS(Kamis!$H$7:$H$186,Kamis!$C$7:$C$186,$B9,Kamis!$A$7:$A$186,"&gt;="&amp;DATE(2026,9,1),Kamis!$A$7:$A$186,"&lt;="&amp;DATE(2026,9,30))+SUMIFS(Jumat!$H$7:$H$186,Jumat!$C$7:$C$186,$B9,Jumat!$A$7:$A$186,"&gt;="&amp;DATE(2026,9,1),Jumat!$A$7:$A$186,"&lt;="&amp;DATE(2026,9,30))</f>
        <v>0</v>
      </c>
      <c r="H9" s="45">
        <f>SUMIFS(Senin!$H$7:$H$146,Senin!$C$7:$C$146,$B9,Senin!$A$7:$A$146,"&gt;="&amp;DATE(2026,10,1),Senin!$A$7:$A$146,"&lt;="&amp;DATE(2026,10,31))+SUMIFS(Selasa!$H$7:$H$166,Selasa!$C$7:$C$166,$B9,Selasa!$A$7:$A$166,"&gt;="&amp;DATE(2026,10,1),Selasa!$A$7:$A$166,"&lt;="&amp;DATE(2026,10,31))+SUMIFS(Rabu!$H$7:$H$206,Rabu!$C$7:$C$206,$B9,Rabu!$A$7:$A$206,"&gt;="&amp;DATE(2026,10,1),Rabu!$A$7:$A$206,"&lt;="&amp;DATE(2026,10,31))+SUMIFS(Kamis!$H$7:$H$186,Kamis!$C$7:$C$186,$B9,Kamis!$A$7:$A$186,"&gt;="&amp;DATE(2026,10,1),Kamis!$A$7:$A$186,"&lt;="&amp;DATE(2026,10,31))+SUMIFS(Jumat!$H$7:$H$186,Jumat!$C$7:$C$186,$B9,Jumat!$A$7:$A$186,"&gt;="&amp;DATE(2026,10,1),Jumat!$A$7:$A$186,"&lt;="&amp;DATE(2026,10,31))</f>
        <v>0</v>
      </c>
      <c r="I9" s="45">
        <f>SUMIFS(Senin!$H$7:$H$146,Senin!$C$7:$C$146,$B9,Senin!$A$7:$A$146,"&gt;="&amp;DATE(2026,11,1),Senin!$A$7:$A$146,"&lt;="&amp;DATE(2026,11,30))+SUMIFS(Selasa!$H$7:$H$166,Selasa!$C$7:$C$166,$B9,Selasa!$A$7:$A$166,"&gt;="&amp;DATE(2026,11,1),Selasa!$A$7:$A$166,"&lt;="&amp;DATE(2026,11,30))+SUMIFS(Rabu!$H$7:$H$206,Rabu!$C$7:$C$206,$B9,Rabu!$A$7:$A$206,"&gt;="&amp;DATE(2026,11,1),Rabu!$A$7:$A$206,"&lt;="&amp;DATE(2026,11,30))+SUMIFS(Kamis!$H$7:$H$186,Kamis!$C$7:$C$186,$B9,Kamis!$A$7:$A$186,"&gt;="&amp;DATE(2026,11,1),Kamis!$A$7:$A$186,"&lt;="&amp;DATE(2026,11,30))+SUMIFS(Jumat!$H$7:$H$186,Jumat!$C$7:$C$186,$B9,Jumat!$A$7:$A$186,"&gt;="&amp;DATE(2026,11,1),Jumat!$A$7:$A$186,"&lt;="&amp;DATE(2026,11,30))</f>
        <v>0</v>
      </c>
      <c r="J9" s="45">
        <f>SUMIFS(Senin!$H$7:$H$146,Senin!$C$7:$C$146,$B9,Senin!$A$7:$A$146,"&gt;="&amp;DATE(2026,12,1),Senin!$A$7:$A$146,"&lt;="&amp;DATE(2026,12,31))+SUMIFS(Selasa!$H$7:$H$166,Selasa!$C$7:$C$166,$B9,Selasa!$A$7:$A$166,"&gt;="&amp;DATE(2026,12,1),Selasa!$A$7:$A$166,"&lt;="&amp;DATE(2026,12,31))+SUMIFS(Rabu!$H$7:$H$206,Rabu!$C$7:$C$206,$B9,Rabu!$A$7:$A$206,"&gt;="&amp;DATE(2026,12,1),Rabu!$A$7:$A$206,"&lt;="&amp;DATE(2026,12,31))+SUMIFS(Kamis!$H$7:$H$186,Kamis!$C$7:$C$186,$B9,Kamis!$A$7:$A$186,"&gt;="&amp;DATE(2026,12,1),Kamis!$A$7:$A$186,"&lt;="&amp;DATE(2026,12,31))+SUMIFS(Jumat!$H$7:$H$186,Jumat!$C$7:$C$186,$B9,Jumat!$A$7:$A$186,"&gt;="&amp;DATE(2026,12,1),Jumat!$A$7:$A$186,"&lt;="&amp;DATE(2026,12,31))</f>
        <v>0</v>
      </c>
      <c r="K9" s="45">
        <f>SUMIFS(Senin!$H$7:$H$146,Senin!$C$7:$C$146,$B9,Senin!$A$7:$A$146,"&gt;="&amp;DATE(2026,8,31),Senin!$A$7:$A$146,"&lt;="&amp;DATE(2026,9,6))+SUMIFS(Selasa!$H$7:$H$166,Selasa!$C$7:$C$166,$B9,Selasa!$A$7:$A$166,"&gt;="&amp;DATE(2026,8,31),Selasa!$A$7:$A$166,"&lt;="&amp;DATE(2026,9,6))+SUMIFS(Rabu!$H$7:$H$206,Rabu!$C$7:$C$206,$B9,Rabu!$A$7:$A$206,"&gt;="&amp;DATE(2026,8,31),Rabu!$A$7:$A$206,"&lt;="&amp;DATE(2026,9,6))+SUMIFS(Kamis!$H$7:$H$186,Kamis!$C$7:$C$186,$B9,Kamis!$A$7:$A$186,"&gt;="&amp;DATE(2026,8,31),Kamis!$A$7:$A$186,"&lt;="&amp;DATE(2026,9,6))+SUMIFS(Jumat!$H$7:$H$186,Jumat!$C$7:$C$186,$B9,Jumat!$A$7:$A$186,"&gt;="&amp;DATE(2026,8,31),Jumat!$A$7:$A$186,"&lt;="&amp;DATE(2026,9,6))</f>
        <v>0</v>
      </c>
      <c r="L9" s="45">
        <f>SUMIFS(Senin!$H$7:$H$146,Senin!$C$7:$C$146,$B9,Senin!$A$7:$A$146,"&gt;="&amp;DATE(2026,9,7),Senin!$A$7:$A$146,"&lt;="&amp;DATE(2026,9,13))+SUMIFS(Selasa!$H$7:$H$166,Selasa!$C$7:$C$166,$B9,Selasa!$A$7:$A$166,"&gt;="&amp;DATE(2026,9,7),Selasa!$A$7:$A$166,"&lt;="&amp;DATE(2026,9,13))+SUMIFS(Rabu!$H$7:$H$206,Rabu!$C$7:$C$206,$B9,Rabu!$A$7:$A$206,"&gt;="&amp;DATE(2026,9,7),Rabu!$A$7:$A$206,"&lt;="&amp;DATE(2026,9,13))+SUMIFS(Kamis!$H$7:$H$186,Kamis!$C$7:$C$186,$B9,Kamis!$A$7:$A$186,"&gt;="&amp;DATE(2026,9,7),Kamis!$A$7:$A$186,"&lt;="&amp;DATE(2026,9,13))+SUMIFS(Jumat!$H$7:$H$186,Jumat!$C$7:$C$186,$B9,Jumat!$A$7:$A$186,"&gt;="&amp;DATE(2026,9,7),Jumat!$A$7:$A$186,"&lt;="&amp;DATE(2026,9,13))</f>
        <v>0</v>
      </c>
      <c r="M9" s="45">
        <f>SUMIFS(Senin!$H$7:$H$146,Senin!$C$7:$C$146,$B9,Senin!$A$7:$A$146,"&gt;="&amp;DATE(2026,9,14),Senin!$A$7:$A$146,"&lt;="&amp;DATE(2026,9,20))+SUMIFS(Selasa!$H$7:$H$166,Selasa!$C$7:$C$166,$B9,Selasa!$A$7:$A$166,"&gt;="&amp;DATE(2026,9,14),Selasa!$A$7:$A$166,"&lt;="&amp;DATE(2026,9,20))+SUMIFS(Rabu!$H$7:$H$206,Rabu!$C$7:$C$206,$B9,Rabu!$A$7:$A$206,"&gt;="&amp;DATE(2026,9,14),Rabu!$A$7:$A$206,"&lt;="&amp;DATE(2026,9,20))+SUMIFS(Kamis!$H$7:$H$186,Kamis!$C$7:$C$186,$B9,Kamis!$A$7:$A$186,"&gt;="&amp;DATE(2026,9,14),Kamis!$A$7:$A$186,"&lt;="&amp;DATE(2026,9,20))+SUMIFS(Jumat!$H$7:$H$186,Jumat!$C$7:$C$186,$B9,Jumat!$A$7:$A$186,"&gt;="&amp;DATE(2026,9,14),Jumat!$A$7:$A$186,"&lt;="&amp;DATE(2026,9,20))</f>
        <v>0</v>
      </c>
      <c r="N9" s="45">
        <f>SUMIFS(Senin!$H$7:$H$146,Senin!$C$7:$C$146,$B9,Senin!$A$7:$A$146,"&gt;="&amp;DATE(2026,9,21),Senin!$A$7:$A$146,"&lt;="&amp;DATE(2026,9,27))+SUMIFS(Selasa!$H$7:$H$166,Selasa!$C$7:$C$166,$B9,Selasa!$A$7:$A$166,"&gt;="&amp;DATE(2026,9,21),Selasa!$A$7:$A$166,"&lt;="&amp;DATE(2026,9,27))+SUMIFS(Rabu!$H$7:$H$206,Rabu!$C$7:$C$206,$B9,Rabu!$A$7:$A$206,"&gt;="&amp;DATE(2026,9,21),Rabu!$A$7:$A$206,"&lt;="&amp;DATE(2026,9,27))+SUMIFS(Kamis!$H$7:$H$186,Kamis!$C$7:$C$186,$B9,Kamis!$A$7:$A$186,"&gt;="&amp;DATE(2026,9,21),Kamis!$A$7:$A$186,"&lt;="&amp;DATE(2026,9,27))+SUMIFS(Jumat!$H$7:$H$186,Jumat!$C$7:$C$186,$B9,Jumat!$A$7:$A$186,"&gt;="&amp;DATE(2026,9,21),Jumat!$A$7:$A$186,"&lt;="&amp;DATE(2026,9,27))</f>
        <v>0</v>
      </c>
      <c r="O9" s="45">
        <f>SUMIFS(Senin!$H$7:$H$146,Senin!$C$7:$C$146,$B9,Senin!$A$7:$A$146,"&gt;="&amp;DATE(2026,9,28),Senin!$A$7:$A$146,"&lt;="&amp;DATE(2026,10,4))+SUMIFS(Selasa!$H$7:$H$166,Selasa!$C$7:$C$166,$B9,Selasa!$A$7:$A$166,"&gt;="&amp;DATE(2026,9,28),Selasa!$A$7:$A$166,"&lt;="&amp;DATE(2026,10,4))+SUMIFS(Rabu!$H$7:$H$206,Rabu!$C$7:$C$206,$B9,Rabu!$A$7:$A$206,"&gt;="&amp;DATE(2026,9,28),Rabu!$A$7:$A$206,"&lt;="&amp;DATE(2026,10,4))+SUMIFS(Kamis!$H$7:$H$186,Kamis!$C$7:$C$186,$B9,Kamis!$A$7:$A$186,"&gt;="&amp;DATE(2026,9,28),Kamis!$A$7:$A$186,"&lt;="&amp;DATE(2026,10,4))+SUMIFS(Jumat!$H$7:$H$186,Jumat!$C$7:$C$186,$B9,Jumat!$A$7:$A$186,"&gt;="&amp;DATE(2026,9,28),Jumat!$A$7:$A$186,"&lt;="&amp;DATE(2026,10,4))</f>
        <v>0</v>
      </c>
      <c r="P9" s="45">
        <f>SUMIFS(Senin!$H$7:$H$146,Senin!$C$7:$C$146,$B9,Senin!$A$7:$A$146,"&gt;="&amp;DATE(2026,10,5),Senin!$A$7:$A$146,"&lt;="&amp;DATE(2026,10,11))+SUMIFS(Selasa!$H$7:$H$166,Selasa!$C$7:$C$166,$B9,Selasa!$A$7:$A$166,"&gt;="&amp;DATE(2026,10,5),Selasa!$A$7:$A$166,"&lt;="&amp;DATE(2026,10,11))+SUMIFS(Rabu!$H$7:$H$206,Rabu!$C$7:$C$206,$B9,Rabu!$A$7:$A$206,"&gt;="&amp;DATE(2026,10,5),Rabu!$A$7:$A$206,"&lt;="&amp;DATE(2026,10,11))+SUMIFS(Kamis!$H$7:$H$186,Kamis!$C$7:$C$186,$B9,Kamis!$A$7:$A$186,"&gt;="&amp;DATE(2026,10,5),Kamis!$A$7:$A$186,"&lt;="&amp;DATE(2026,10,11))+SUMIFS(Jumat!$H$7:$H$186,Jumat!$C$7:$C$186,$B9,Jumat!$A$7:$A$186,"&gt;="&amp;DATE(2026,10,5),Jumat!$A$7:$A$186,"&lt;="&amp;DATE(2026,10,11))</f>
        <v>0</v>
      </c>
      <c r="Q9" s="45">
        <f>SUMIFS(Senin!$H$7:$H$146,Senin!$C$7:$C$146,$B9,Senin!$A$7:$A$146,"&gt;="&amp;DATE(2026,10,12),Senin!$A$7:$A$146,"&lt;="&amp;DATE(2026,10,18))+SUMIFS(Selasa!$H$7:$H$166,Selasa!$C$7:$C$166,$B9,Selasa!$A$7:$A$166,"&gt;="&amp;DATE(2026,10,12),Selasa!$A$7:$A$166,"&lt;="&amp;DATE(2026,10,18))+SUMIFS(Rabu!$H$7:$H$206,Rabu!$C$7:$C$206,$B9,Rabu!$A$7:$A$206,"&gt;="&amp;DATE(2026,10,12),Rabu!$A$7:$A$206,"&lt;="&amp;DATE(2026,10,18))+SUMIFS(Kamis!$H$7:$H$186,Kamis!$C$7:$C$186,$B9,Kamis!$A$7:$A$186,"&gt;="&amp;DATE(2026,10,12),Kamis!$A$7:$A$186,"&lt;="&amp;DATE(2026,10,18))+SUMIFS(Jumat!$H$7:$H$186,Jumat!$C$7:$C$186,$B9,Jumat!$A$7:$A$186,"&gt;="&amp;DATE(2026,10,12),Jumat!$A$7:$A$186,"&lt;="&amp;DATE(2026,10,18))</f>
        <v>0</v>
      </c>
      <c r="R9" s="45">
        <f>SUMIFS(Senin!$H$7:$H$146,Senin!$C$7:$C$146,$B9,Senin!$A$7:$A$146,"&gt;="&amp;DATE(2026,10,19),Senin!$A$7:$A$146,"&lt;="&amp;DATE(2026,10,25))+SUMIFS(Selasa!$H$7:$H$166,Selasa!$C$7:$C$166,$B9,Selasa!$A$7:$A$166,"&gt;="&amp;DATE(2026,10,19),Selasa!$A$7:$A$166,"&lt;="&amp;DATE(2026,10,25))+SUMIFS(Rabu!$H$7:$H$206,Rabu!$C$7:$C$206,$B9,Rabu!$A$7:$A$206,"&gt;="&amp;DATE(2026,10,19),Rabu!$A$7:$A$206,"&lt;="&amp;DATE(2026,10,25))+SUMIFS(Kamis!$H$7:$H$186,Kamis!$C$7:$C$186,$B9,Kamis!$A$7:$A$186,"&gt;="&amp;DATE(2026,10,19),Kamis!$A$7:$A$186,"&lt;="&amp;DATE(2026,10,25))+SUMIFS(Jumat!$H$7:$H$186,Jumat!$C$7:$C$186,$B9,Jumat!$A$7:$A$186,"&gt;="&amp;DATE(2026,10,19),Jumat!$A$7:$A$186,"&lt;="&amp;DATE(2026,10,25))</f>
        <v>0</v>
      </c>
      <c r="S9" s="45">
        <f>SUMIFS(Senin!$H$7:$H$146,Senin!$C$7:$C$146,$B9,Senin!$A$7:$A$146,"&gt;="&amp;DATE(2026,10,26),Senin!$A$7:$A$146,"&lt;="&amp;DATE(2026,11,1))+SUMIFS(Selasa!$H$7:$H$166,Selasa!$C$7:$C$166,$B9,Selasa!$A$7:$A$166,"&gt;="&amp;DATE(2026,10,26),Selasa!$A$7:$A$166,"&lt;="&amp;DATE(2026,11,1))+SUMIFS(Rabu!$H$7:$H$206,Rabu!$C$7:$C$206,$B9,Rabu!$A$7:$A$206,"&gt;="&amp;DATE(2026,10,26),Rabu!$A$7:$A$206,"&lt;="&amp;DATE(2026,11,1))+SUMIFS(Kamis!$H$7:$H$186,Kamis!$C$7:$C$186,$B9,Kamis!$A$7:$A$186,"&gt;="&amp;DATE(2026,10,26),Kamis!$A$7:$A$186,"&lt;="&amp;DATE(2026,11,1))+SUMIFS(Jumat!$H$7:$H$186,Jumat!$C$7:$C$186,$B9,Jumat!$A$7:$A$186,"&gt;="&amp;DATE(2026,10,26),Jumat!$A$7:$A$186,"&lt;="&amp;DATE(2026,11,1))</f>
        <v>0</v>
      </c>
      <c r="T9" s="45">
        <f>SUMIFS(Senin!$H$7:$H$146,Senin!$C$7:$C$146,$B9,Senin!$A$7:$A$146,"&gt;="&amp;DATE(2026,11,2),Senin!$A$7:$A$146,"&lt;="&amp;DATE(2026,11,8))+SUMIFS(Selasa!$H$7:$H$166,Selasa!$C$7:$C$166,$B9,Selasa!$A$7:$A$166,"&gt;="&amp;DATE(2026,11,2),Selasa!$A$7:$A$166,"&lt;="&amp;DATE(2026,11,8))+SUMIFS(Rabu!$H$7:$H$206,Rabu!$C$7:$C$206,$B9,Rabu!$A$7:$A$206,"&gt;="&amp;DATE(2026,11,2),Rabu!$A$7:$A$206,"&lt;="&amp;DATE(2026,11,8))+SUMIFS(Kamis!$H$7:$H$186,Kamis!$C$7:$C$186,$B9,Kamis!$A$7:$A$186,"&gt;="&amp;DATE(2026,11,2),Kamis!$A$7:$A$186,"&lt;="&amp;DATE(2026,11,8))+SUMIFS(Jumat!$H$7:$H$186,Jumat!$C$7:$C$186,$B9,Jumat!$A$7:$A$186,"&gt;="&amp;DATE(2026,11,2),Jumat!$A$7:$A$186,"&lt;="&amp;DATE(2026,11,8))</f>
        <v>0</v>
      </c>
      <c r="U9" s="45">
        <f>SUMIFS(Senin!$H$7:$H$146,Senin!$C$7:$C$146,$B9,Senin!$A$7:$A$146,"&gt;="&amp;DATE(2026,11,9),Senin!$A$7:$A$146,"&lt;="&amp;DATE(2026,11,15))+SUMIFS(Selasa!$H$7:$H$166,Selasa!$C$7:$C$166,$B9,Selasa!$A$7:$A$166,"&gt;="&amp;DATE(2026,11,9),Selasa!$A$7:$A$166,"&lt;="&amp;DATE(2026,11,15))+SUMIFS(Rabu!$H$7:$H$206,Rabu!$C$7:$C$206,$B9,Rabu!$A$7:$A$206,"&gt;="&amp;DATE(2026,11,9),Rabu!$A$7:$A$206,"&lt;="&amp;DATE(2026,11,15))+SUMIFS(Kamis!$H$7:$H$186,Kamis!$C$7:$C$186,$B9,Kamis!$A$7:$A$186,"&gt;="&amp;DATE(2026,11,9),Kamis!$A$7:$A$186,"&lt;="&amp;DATE(2026,11,15))+SUMIFS(Jumat!$H$7:$H$186,Jumat!$C$7:$C$186,$B9,Jumat!$A$7:$A$186,"&gt;="&amp;DATE(2026,11,9),Jumat!$A$7:$A$186,"&lt;="&amp;DATE(2026,11,15))</f>
        <v>0</v>
      </c>
      <c r="V9" s="45">
        <f>SUMIFS(Senin!$H$7:$H$146,Senin!$C$7:$C$146,$B9,Senin!$A$7:$A$146,"&gt;="&amp;DATE(2026,11,16),Senin!$A$7:$A$146,"&lt;="&amp;DATE(2026,11,22))+SUMIFS(Selasa!$H$7:$H$166,Selasa!$C$7:$C$166,$B9,Selasa!$A$7:$A$166,"&gt;="&amp;DATE(2026,11,16),Selasa!$A$7:$A$166,"&lt;="&amp;DATE(2026,11,22))+SUMIFS(Rabu!$H$7:$H$206,Rabu!$C$7:$C$206,$B9,Rabu!$A$7:$A$206,"&gt;="&amp;DATE(2026,11,16),Rabu!$A$7:$A$206,"&lt;="&amp;DATE(2026,11,22))+SUMIFS(Kamis!$H$7:$H$186,Kamis!$C$7:$C$186,$B9,Kamis!$A$7:$A$186,"&gt;="&amp;DATE(2026,11,16),Kamis!$A$7:$A$186,"&lt;="&amp;DATE(2026,11,22))+SUMIFS(Jumat!$H$7:$H$186,Jumat!$C$7:$C$186,$B9,Jumat!$A$7:$A$186,"&gt;="&amp;DATE(2026,11,16),Jumat!$A$7:$A$186,"&lt;="&amp;DATE(2026,11,22))</f>
        <v>0</v>
      </c>
      <c r="W9" s="45">
        <f>SUMIFS(Senin!$H$7:$H$146,Senin!$C$7:$C$146,$B9,Senin!$A$7:$A$146,"&gt;="&amp;DATE(2026,11,23),Senin!$A$7:$A$146,"&lt;="&amp;DATE(2026,11,29))+SUMIFS(Selasa!$H$7:$H$166,Selasa!$C$7:$C$166,$B9,Selasa!$A$7:$A$166,"&gt;="&amp;DATE(2026,11,23),Selasa!$A$7:$A$166,"&lt;="&amp;DATE(2026,11,29))+SUMIFS(Rabu!$H$7:$H$206,Rabu!$C$7:$C$206,$B9,Rabu!$A$7:$A$206,"&gt;="&amp;DATE(2026,11,23),Rabu!$A$7:$A$206,"&lt;="&amp;DATE(2026,11,29))+SUMIFS(Kamis!$H$7:$H$186,Kamis!$C$7:$C$186,$B9,Kamis!$A$7:$A$186,"&gt;="&amp;DATE(2026,11,23),Kamis!$A$7:$A$186,"&lt;="&amp;DATE(2026,11,29))+SUMIFS(Jumat!$H$7:$H$186,Jumat!$C$7:$C$186,$B9,Jumat!$A$7:$A$186,"&gt;="&amp;DATE(2026,11,23),Jumat!$A$7:$A$186,"&lt;="&amp;DATE(2026,11,29))</f>
        <v>0</v>
      </c>
      <c r="X9" s="45">
        <f>SUMIFS(Senin!$H$7:$H$146,Senin!$C$7:$C$146,$B9,Senin!$A$7:$A$146,"&gt;="&amp;DATE(2026,11,30),Senin!$A$7:$A$146,"&lt;="&amp;DATE(2026,12,6))+SUMIFS(Selasa!$H$7:$H$166,Selasa!$C$7:$C$166,$B9,Selasa!$A$7:$A$166,"&gt;="&amp;DATE(2026,11,30),Selasa!$A$7:$A$166,"&lt;="&amp;DATE(2026,12,6))+SUMIFS(Rabu!$H$7:$H$206,Rabu!$C$7:$C$206,$B9,Rabu!$A$7:$A$206,"&gt;="&amp;DATE(2026,11,30),Rabu!$A$7:$A$206,"&lt;="&amp;DATE(2026,12,6))+SUMIFS(Kamis!$H$7:$H$186,Kamis!$C$7:$C$186,$B9,Kamis!$A$7:$A$186,"&gt;="&amp;DATE(2026,11,30),Kamis!$A$7:$A$186,"&lt;="&amp;DATE(2026,12,6))+SUMIFS(Jumat!$H$7:$H$186,Jumat!$C$7:$C$186,$B9,Jumat!$A$7:$A$186,"&gt;="&amp;DATE(2026,11,30),Jumat!$A$7:$A$186,"&lt;="&amp;DATE(2026,12,6))</f>
        <v>0</v>
      </c>
      <c r="Y9" s="45">
        <f>SUMIFS(Senin!$H$7:$H$146,Senin!$C$7:$C$146,$B9,Senin!$A$7:$A$146,"&gt;="&amp;DATE(2026,12,7),Senin!$A$7:$A$146,"&lt;="&amp;DATE(2026,12,13))+SUMIFS(Selasa!$H$7:$H$166,Selasa!$C$7:$C$166,$B9,Selasa!$A$7:$A$166,"&gt;="&amp;DATE(2026,12,7),Selasa!$A$7:$A$166,"&lt;="&amp;DATE(2026,12,13))+SUMIFS(Rabu!$H$7:$H$206,Rabu!$C$7:$C$206,$B9,Rabu!$A$7:$A$206,"&gt;="&amp;DATE(2026,12,7),Rabu!$A$7:$A$206,"&lt;="&amp;DATE(2026,12,13))+SUMIFS(Kamis!$H$7:$H$186,Kamis!$C$7:$C$186,$B9,Kamis!$A$7:$A$186,"&gt;="&amp;DATE(2026,12,7),Kamis!$A$7:$A$186,"&lt;="&amp;DATE(2026,12,13))+SUMIFS(Jumat!$H$7:$H$186,Jumat!$C$7:$C$186,$B9,Jumat!$A$7:$A$186,"&gt;="&amp;DATE(2026,12,7),Jumat!$A$7:$A$186,"&lt;="&amp;DATE(2026,12,13))</f>
        <v>0</v>
      </c>
      <c r="Z9" s="45">
        <f>SUMIFS(Senin!$H$7:$H$146,Senin!$C$7:$C$146,$B9,Senin!$A$7:$A$146,"&gt;="&amp;DATE(2026,12,14),Senin!$A$7:$A$146,"&lt;="&amp;DATE(2026,12,20))+SUMIFS(Selasa!$H$7:$H$166,Selasa!$C$7:$C$166,$B9,Selasa!$A$7:$A$166,"&gt;="&amp;DATE(2026,12,14),Selasa!$A$7:$A$166,"&lt;="&amp;DATE(2026,12,20))+SUMIFS(Rabu!$H$7:$H$206,Rabu!$C$7:$C$206,$B9,Rabu!$A$7:$A$206,"&gt;="&amp;DATE(2026,12,14),Rabu!$A$7:$A$206,"&lt;="&amp;DATE(2026,12,20))+SUMIFS(Kamis!$H$7:$H$186,Kamis!$C$7:$C$186,$B9,Kamis!$A$7:$A$186,"&gt;="&amp;DATE(2026,12,14),Kamis!$A$7:$A$186,"&lt;="&amp;DATE(2026,12,20))+SUMIFS(Jumat!$H$7:$H$186,Jumat!$C$7:$C$186,$B9,Jumat!$A$7:$A$186,"&gt;="&amp;DATE(2026,12,14),Jumat!$A$7:$A$186,"&lt;="&amp;DATE(2026,12,20))</f>
        <v>0</v>
      </c>
      <c r="AA9" s="45">
        <f>SUMIFS(Senin!$H$7:$H$146,Senin!$C$7:$C$146,$B9,Senin!$A$7:$A$146,"&gt;="&amp;DATE(2026,12,21),Senin!$A$7:$A$146,"&lt;="&amp;DATE(2026,12,27))+SUMIFS(Selasa!$H$7:$H$166,Selasa!$C$7:$C$166,$B9,Selasa!$A$7:$A$166,"&gt;="&amp;DATE(2026,12,21),Selasa!$A$7:$A$166,"&lt;="&amp;DATE(2026,12,27))+SUMIFS(Rabu!$H$7:$H$206,Rabu!$C$7:$C$206,$B9,Rabu!$A$7:$A$206,"&gt;="&amp;DATE(2026,12,21),Rabu!$A$7:$A$206,"&lt;="&amp;DATE(2026,12,27))+SUMIFS(Kamis!$H$7:$H$186,Kamis!$C$7:$C$186,$B9,Kamis!$A$7:$A$186,"&gt;="&amp;DATE(2026,12,21),Kamis!$A$7:$A$186,"&lt;="&amp;DATE(2026,12,27))+SUMIFS(Jumat!$H$7:$H$186,Jumat!$C$7:$C$186,$B9,Jumat!$A$7:$A$186,"&gt;="&amp;DATE(2026,12,21),Jumat!$A$7:$A$186,"&lt;="&amp;DATE(2026,12,27))</f>
        <v>0</v>
      </c>
      <c r="AB9" s="45">
        <f>SUMIFS(Senin!$H$7:$H$146,Senin!$C$7:$C$146,$B9,Senin!$A$7:$A$146,"&gt;="&amp;DATE(2026,12,28),Senin!$A$7:$A$146,"&lt;="&amp;DATE(2027,1,3))+SUMIFS(Selasa!$H$7:$H$166,Selasa!$C$7:$C$166,$B9,Selasa!$A$7:$A$166,"&gt;="&amp;DATE(2026,12,28),Selasa!$A$7:$A$166,"&lt;="&amp;DATE(2027,1,3))+SUMIFS(Rabu!$H$7:$H$206,Rabu!$C$7:$C$206,$B9,Rabu!$A$7:$A$206,"&gt;="&amp;DATE(2026,12,28),Rabu!$A$7:$A$206,"&lt;="&amp;DATE(2027,1,3))+SUMIFS(Kamis!$H$7:$H$186,Kamis!$C$7:$C$186,$B9,Kamis!$A$7:$A$186,"&gt;="&amp;DATE(2026,12,28),Kamis!$A$7:$A$186,"&lt;="&amp;DATE(2027,1,3))+SUMIFS(Jumat!$H$7:$H$186,Jumat!$C$7:$C$186,$B9,Jumat!$A$7:$A$186,"&gt;="&amp;DATE(2026,12,28),Jumat!$A$7:$A$186,"&lt;="&amp;DATE(2027,1,3))</f>
        <v>0</v>
      </c>
      <c r="AC9" s="45">
        <f>SUMIFS(Senin!$H$7:$H$146,Senin!$C$7:$C$146,$B9,Senin!$A$7:$A$146,"&gt;="&amp;DATE(2027,1,4),Senin!$A$7:$A$146,"&lt;="&amp;DATE(2027,1,10))+SUMIFS(Selasa!$H$7:$H$166,Selasa!$C$7:$C$166,$B9,Selasa!$A$7:$A$166,"&gt;="&amp;DATE(2027,1,4),Selasa!$A$7:$A$166,"&lt;="&amp;DATE(2027,1,10))+SUMIFS(Rabu!$H$7:$H$206,Rabu!$C$7:$C$206,$B9,Rabu!$A$7:$A$206,"&gt;="&amp;DATE(2027,1,4),Rabu!$A$7:$A$206,"&lt;="&amp;DATE(2027,1,10))+SUMIFS(Kamis!$H$7:$H$186,Kamis!$C$7:$C$186,$B9,Kamis!$A$7:$A$186,"&gt;="&amp;DATE(2027,1,4),Kamis!$A$7:$A$186,"&lt;="&amp;DATE(2027,1,10))+SUMIFS(Jumat!$H$7:$H$186,Jumat!$C$7:$C$186,$B9,Jumat!$A$7:$A$186,"&gt;="&amp;DATE(2027,1,4),Jumat!$A$7:$A$186,"&lt;="&amp;DATE(2027,1,10))</f>
        <v>0</v>
      </c>
      <c r="AD9" s="45">
        <f>SUMIFS(Senin!$H$7:$H$146,Senin!$C$7:$C$146,$B9,Senin!$A$7:$A$146,"&gt;="&amp;DATE(2027,1,11),Senin!$A$7:$A$146,"&lt;="&amp;DATE(2027,1,17))+SUMIFS(Selasa!$H$7:$H$166,Selasa!$C$7:$C$166,$B9,Selasa!$A$7:$A$166,"&gt;="&amp;DATE(2027,1,11),Selasa!$A$7:$A$166,"&lt;="&amp;DATE(2027,1,17))+SUMIFS(Rabu!$H$7:$H$206,Rabu!$C$7:$C$206,$B9,Rabu!$A$7:$A$206,"&gt;="&amp;DATE(2027,1,11),Rabu!$A$7:$A$206,"&lt;="&amp;DATE(2027,1,17))+SUMIFS(Kamis!$H$7:$H$186,Kamis!$C$7:$C$186,$B9,Kamis!$A$7:$A$186,"&gt;="&amp;DATE(2027,1,11),Kamis!$A$7:$A$186,"&lt;="&amp;DATE(2027,1,17))+SUMIFS(Jumat!$H$7:$H$186,Jumat!$C$7:$C$186,$B9,Jumat!$A$7:$A$186,"&gt;="&amp;DATE(2027,1,11),Jumat!$A$7:$A$186,"&lt;="&amp;DATE(2027,1,17))</f>
        <v>0</v>
      </c>
    </row>
    <row r="10" ht="14.25" customHeight="1">
      <c r="A10" s="27">
        <v>7.0</v>
      </c>
      <c r="B10" s="28" t="s">
        <v>36</v>
      </c>
      <c r="C10" s="41">
        <f>COUNTIFS(Senin!$C$7:$C$146,$B10,Senin!$G$7:$G$146,"Ya",Senin!$E$7:$E$146,"&lt;&gt;")+COUNTIFS(Selasa!$C$7:$C$166,$B10,Selasa!$G$7:$G$166,"Ya",Selasa!$E$7:$E$166,"&lt;&gt;")+COUNTIFS(Rabu!$C$7:$C$206,$B10,Rabu!$G$7:$G$206,"Ya",Rabu!$E$7:$E$206,"&lt;&gt;")+COUNTIFS(Kamis!$C$7:$C$186,$B10,Kamis!$G$7:$G$186,"Ya",Kamis!$E$7:$E$186,"&lt;&gt;")+COUNTIFS(Jumat!$C$7:$C$186,$B10,Jumat!$G$7:$G$186,"Ya",Jumat!$E$7:$E$186,"&lt;&gt;")</f>
        <v>0</v>
      </c>
      <c r="D10" s="41">
        <f>COUNTIFS(Senin!$C$7:$C$146,$B10,Senin!$G$7:$G$146,"Ya",Senin!$E$7:$E$146,"")+COUNTIFS(Selasa!$C$7:$C$166,$B10,Selasa!$G$7:$G$166,"Ya",Selasa!$E$7:$E$166,"")+COUNTIFS(Rabu!$C$7:$C$206,$B10,Rabu!$G$7:$G$206,"Ya",Rabu!$E$7:$E$206,"")+COUNTIFS(Kamis!$C$7:$C$186,$B10,Kamis!$G$7:$G$186,"Ya",Kamis!$E$7:$E$186,"")+COUNTIFS(Jumat!$C$7:$C$186,$B10,Jumat!$G$7:$G$186,"Ya",Jumat!$E$7:$E$186,"")</f>
        <v>0</v>
      </c>
      <c r="E10" s="45">
        <f>SUMIFS(Senin!$H$7:$H$146,Senin!$C$7:$C$146,$B10,Senin!$A$7:$A$146,"&gt;="&amp;DATE(2026,8,1),Senin!$A$7:$A$146,"&lt;="&amp;DATE(2026,12,31))+SUMIFS(Selasa!$H$7:$H$166,Selasa!$C$7:$C$166,$B10,Selasa!$A$7:$A$166,"&gt;="&amp;DATE(2026,8,1),Selasa!$A$7:$A$166,"&lt;="&amp;DATE(2026,12,31))+SUMIFS(Rabu!$H$7:$H$206,Rabu!$C$7:$C$206,$B10,Rabu!$A$7:$A$206,"&gt;="&amp;DATE(2026,8,1),Rabu!$A$7:$A$206,"&lt;="&amp;DATE(2026,12,31))+SUMIFS(Kamis!$H$7:$H$186,Kamis!$C$7:$C$186,$B10,Kamis!$A$7:$A$186,"&gt;="&amp;DATE(2026,8,1),Kamis!$A$7:$A$186,"&lt;="&amp;DATE(2026,12,31))+SUMIFS(Jumat!$H$7:$H$186,Jumat!$C$7:$C$186,$B10,Jumat!$A$7:$A$186,"&gt;="&amp;DATE(2026,8,1),Jumat!$A$7:$A$186,"&lt;="&amp;DATE(2026,12,31))</f>
        <v>0</v>
      </c>
      <c r="F10" s="45">
        <f>SUMIFS(Senin!$H$7:$H$146,Senin!$C$7:$C$146,$B10,Senin!$A$7:$A$146,"&gt;="&amp;DATE(2026,8,1),Senin!$A$7:$A$146,"&lt;="&amp;DATE(2026,8,31))+SUMIFS(Selasa!$H$7:$H$166,Selasa!$C$7:$C$166,$B10,Selasa!$A$7:$A$166,"&gt;="&amp;DATE(2026,8,1),Selasa!$A$7:$A$166,"&lt;="&amp;DATE(2026,8,31))+SUMIFS(Rabu!$H$7:$H$206,Rabu!$C$7:$C$206,$B10,Rabu!$A$7:$A$206,"&gt;="&amp;DATE(2026,8,1),Rabu!$A$7:$A$206,"&lt;="&amp;DATE(2026,8,31))+SUMIFS(Kamis!$H$7:$H$186,Kamis!$C$7:$C$186,$B10,Kamis!$A$7:$A$186,"&gt;="&amp;DATE(2026,8,1),Kamis!$A$7:$A$186,"&lt;="&amp;DATE(2026,8,31))+SUMIFS(Jumat!$H$7:$H$186,Jumat!$C$7:$C$186,$B10,Jumat!$A$7:$A$186,"&gt;="&amp;DATE(2026,8,1),Jumat!$A$7:$A$186,"&lt;="&amp;DATE(2026,8,31))</f>
        <v>0</v>
      </c>
      <c r="G10" s="45">
        <f>SUMIFS(Senin!$H$7:$H$146,Senin!$C$7:$C$146,$B10,Senin!$A$7:$A$146,"&gt;="&amp;DATE(2026,9,1),Senin!$A$7:$A$146,"&lt;="&amp;DATE(2026,9,30))+SUMIFS(Selasa!$H$7:$H$166,Selasa!$C$7:$C$166,$B10,Selasa!$A$7:$A$166,"&gt;="&amp;DATE(2026,9,1),Selasa!$A$7:$A$166,"&lt;="&amp;DATE(2026,9,30))+SUMIFS(Rabu!$H$7:$H$206,Rabu!$C$7:$C$206,$B10,Rabu!$A$7:$A$206,"&gt;="&amp;DATE(2026,9,1),Rabu!$A$7:$A$206,"&lt;="&amp;DATE(2026,9,30))+SUMIFS(Kamis!$H$7:$H$186,Kamis!$C$7:$C$186,$B10,Kamis!$A$7:$A$186,"&gt;="&amp;DATE(2026,9,1),Kamis!$A$7:$A$186,"&lt;="&amp;DATE(2026,9,30))+SUMIFS(Jumat!$H$7:$H$186,Jumat!$C$7:$C$186,$B10,Jumat!$A$7:$A$186,"&gt;="&amp;DATE(2026,9,1),Jumat!$A$7:$A$186,"&lt;="&amp;DATE(2026,9,30))</f>
        <v>0</v>
      </c>
      <c r="H10" s="45">
        <f>SUMIFS(Senin!$H$7:$H$146,Senin!$C$7:$C$146,$B10,Senin!$A$7:$A$146,"&gt;="&amp;DATE(2026,10,1),Senin!$A$7:$A$146,"&lt;="&amp;DATE(2026,10,31))+SUMIFS(Selasa!$H$7:$H$166,Selasa!$C$7:$C$166,$B10,Selasa!$A$7:$A$166,"&gt;="&amp;DATE(2026,10,1),Selasa!$A$7:$A$166,"&lt;="&amp;DATE(2026,10,31))+SUMIFS(Rabu!$H$7:$H$206,Rabu!$C$7:$C$206,$B10,Rabu!$A$7:$A$206,"&gt;="&amp;DATE(2026,10,1),Rabu!$A$7:$A$206,"&lt;="&amp;DATE(2026,10,31))+SUMIFS(Kamis!$H$7:$H$186,Kamis!$C$7:$C$186,$B10,Kamis!$A$7:$A$186,"&gt;="&amp;DATE(2026,10,1),Kamis!$A$7:$A$186,"&lt;="&amp;DATE(2026,10,31))+SUMIFS(Jumat!$H$7:$H$186,Jumat!$C$7:$C$186,$B10,Jumat!$A$7:$A$186,"&gt;="&amp;DATE(2026,10,1),Jumat!$A$7:$A$186,"&lt;="&amp;DATE(2026,10,31))</f>
        <v>0</v>
      </c>
      <c r="I10" s="45">
        <f>SUMIFS(Senin!$H$7:$H$146,Senin!$C$7:$C$146,$B10,Senin!$A$7:$A$146,"&gt;="&amp;DATE(2026,11,1),Senin!$A$7:$A$146,"&lt;="&amp;DATE(2026,11,30))+SUMIFS(Selasa!$H$7:$H$166,Selasa!$C$7:$C$166,$B10,Selasa!$A$7:$A$166,"&gt;="&amp;DATE(2026,11,1),Selasa!$A$7:$A$166,"&lt;="&amp;DATE(2026,11,30))+SUMIFS(Rabu!$H$7:$H$206,Rabu!$C$7:$C$206,$B10,Rabu!$A$7:$A$206,"&gt;="&amp;DATE(2026,11,1),Rabu!$A$7:$A$206,"&lt;="&amp;DATE(2026,11,30))+SUMIFS(Kamis!$H$7:$H$186,Kamis!$C$7:$C$186,$B10,Kamis!$A$7:$A$186,"&gt;="&amp;DATE(2026,11,1),Kamis!$A$7:$A$186,"&lt;="&amp;DATE(2026,11,30))+SUMIFS(Jumat!$H$7:$H$186,Jumat!$C$7:$C$186,$B10,Jumat!$A$7:$A$186,"&gt;="&amp;DATE(2026,11,1),Jumat!$A$7:$A$186,"&lt;="&amp;DATE(2026,11,30))</f>
        <v>0</v>
      </c>
      <c r="J10" s="45">
        <f>SUMIFS(Senin!$H$7:$H$146,Senin!$C$7:$C$146,$B10,Senin!$A$7:$A$146,"&gt;="&amp;DATE(2026,12,1),Senin!$A$7:$A$146,"&lt;="&amp;DATE(2026,12,31))+SUMIFS(Selasa!$H$7:$H$166,Selasa!$C$7:$C$166,$B10,Selasa!$A$7:$A$166,"&gt;="&amp;DATE(2026,12,1),Selasa!$A$7:$A$166,"&lt;="&amp;DATE(2026,12,31))+SUMIFS(Rabu!$H$7:$H$206,Rabu!$C$7:$C$206,$B10,Rabu!$A$7:$A$206,"&gt;="&amp;DATE(2026,12,1),Rabu!$A$7:$A$206,"&lt;="&amp;DATE(2026,12,31))+SUMIFS(Kamis!$H$7:$H$186,Kamis!$C$7:$C$186,$B10,Kamis!$A$7:$A$186,"&gt;="&amp;DATE(2026,12,1),Kamis!$A$7:$A$186,"&lt;="&amp;DATE(2026,12,31))+SUMIFS(Jumat!$H$7:$H$186,Jumat!$C$7:$C$186,$B10,Jumat!$A$7:$A$186,"&gt;="&amp;DATE(2026,12,1),Jumat!$A$7:$A$186,"&lt;="&amp;DATE(2026,12,31))</f>
        <v>0</v>
      </c>
      <c r="K10" s="45">
        <f>SUMIFS(Senin!$H$7:$H$146,Senin!$C$7:$C$146,$B10,Senin!$A$7:$A$146,"&gt;="&amp;DATE(2026,8,31),Senin!$A$7:$A$146,"&lt;="&amp;DATE(2026,9,6))+SUMIFS(Selasa!$H$7:$H$166,Selasa!$C$7:$C$166,$B10,Selasa!$A$7:$A$166,"&gt;="&amp;DATE(2026,8,31),Selasa!$A$7:$A$166,"&lt;="&amp;DATE(2026,9,6))+SUMIFS(Rabu!$H$7:$H$206,Rabu!$C$7:$C$206,$B10,Rabu!$A$7:$A$206,"&gt;="&amp;DATE(2026,8,31),Rabu!$A$7:$A$206,"&lt;="&amp;DATE(2026,9,6))+SUMIFS(Kamis!$H$7:$H$186,Kamis!$C$7:$C$186,$B10,Kamis!$A$7:$A$186,"&gt;="&amp;DATE(2026,8,31),Kamis!$A$7:$A$186,"&lt;="&amp;DATE(2026,9,6))+SUMIFS(Jumat!$H$7:$H$186,Jumat!$C$7:$C$186,$B10,Jumat!$A$7:$A$186,"&gt;="&amp;DATE(2026,8,31),Jumat!$A$7:$A$186,"&lt;="&amp;DATE(2026,9,6))</f>
        <v>0</v>
      </c>
      <c r="L10" s="45">
        <f>SUMIFS(Senin!$H$7:$H$146,Senin!$C$7:$C$146,$B10,Senin!$A$7:$A$146,"&gt;="&amp;DATE(2026,9,7),Senin!$A$7:$A$146,"&lt;="&amp;DATE(2026,9,13))+SUMIFS(Selasa!$H$7:$H$166,Selasa!$C$7:$C$166,$B10,Selasa!$A$7:$A$166,"&gt;="&amp;DATE(2026,9,7),Selasa!$A$7:$A$166,"&lt;="&amp;DATE(2026,9,13))+SUMIFS(Rabu!$H$7:$H$206,Rabu!$C$7:$C$206,$B10,Rabu!$A$7:$A$206,"&gt;="&amp;DATE(2026,9,7),Rabu!$A$7:$A$206,"&lt;="&amp;DATE(2026,9,13))+SUMIFS(Kamis!$H$7:$H$186,Kamis!$C$7:$C$186,$B10,Kamis!$A$7:$A$186,"&gt;="&amp;DATE(2026,9,7),Kamis!$A$7:$A$186,"&lt;="&amp;DATE(2026,9,13))+SUMIFS(Jumat!$H$7:$H$186,Jumat!$C$7:$C$186,$B10,Jumat!$A$7:$A$186,"&gt;="&amp;DATE(2026,9,7),Jumat!$A$7:$A$186,"&lt;="&amp;DATE(2026,9,13))</f>
        <v>0</v>
      </c>
      <c r="M10" s="45">
        <f>SUMIFS(Senin!$H$7:$H$146,Senin!$C$7:$C$146,$B10,Senin!$A$7:$A$146,"&gt;="&amp;DATE(2026,9,14),Senin!$A$7:$A$146,"&lt;="&amp;DATE(2026,9,20))+SUMIFS(Selasa!$H$7:$H$166,Selasa!$C$7:$C$166,$B10,Selasa!$A$7:$A$166,"&gt;="&amp;DATE(2026,9,14),Selasa!$A$7:$A$166,"&lt;="&amp;DATE(2026,9,20))+SUMIFS(Rabu!$H$7:$H$206,Rabu!$C$7:$C$206,$B10,Rabu!$A$7:$A$206,"&gt;="&amp;DATE(2026,9,14),Rabu!$A$7:$A$206,"&lt;="&amp;DATE(2026,9,20))+SUMIFS(Kamis!$H$7:$H$186,Kamis!$C$7:$C$186,$B10,Kamis!$A$7:$A$186,"&gt;="&amp;DATE(2026,9,14),Kamis!$A$7:$A$186,"&lt;="&amp;DATE(2026,9,20))+SUMIFS(Jumat!$H$7:$H$186,Jumat!$C$7:$C$186,$B10,Jumat!$A$7:$A$186,"&gt;="&amp;DATE(2026,9,14),Jumat!$A$7:$A$186,"&lt;="&amp;DATE(2026,9,20))</f>
        <v>0</v>
      </c>
      <c r="N10" s="45">
        <f>SUMIFS(Senin!$H$7:$H$146,Senin!$C$7:$C$146,$B10,Senin!$A$7:$A$146,"&gt;="&amp;DATE(2026,9,21),Senin!$A$7:$A$146,"&lt;="&amp;DATE(2026,9,27))+SUMIFS(Selasa!$H$7:$H$166,Selasa!$C$7:$C$166,$B10,Selasa!$A$7:$A$166,"&gt;="&amp;DATE(2026,9,21),Selasa!$A$7:$A$166,"&lt;="&amp;DATE(2026,9,27))+SUMIFS(Rabu!$H$7:$H$206,Rabu!$C$7:$C$206,$B10,Rabu!$A$7:$A$206,"&gt;="&amp;DATE(2026,9,21),Rabu!$A$7:$A$206,"&lt;="&amp;DATE(2026,9,27))+SUMIFS(Kamis!$H$7:$H$186,Kamis!$C$7:$C$186,$B10,Kamis!$A$7:$A$186,"&gt;="&amp;DATE(2026,9,21),Kamis!$A$7:$A$186,"&lt;="&amp;DATE(2026,9,27))+SUMIFS(Jumat!$H$7:$H$186,Jumat!$C$7:$C$186,$B10,Jumat!$A$7:$A$186,"&gt;="&amp;DATE(2026,9,21),Jumat!$A$7:$A$186,"&lt;="&amp;DATE(2026,9,27))</f>
        <v>0</v>
      </c>
      <c r="O10" s="45">
        <f>SUMIFS(Senin!$H$7:$H$146,Senin!$C$7:$C$146,$B10,Senin!$A$7:$A$146,"&gt;="&amp;DATE(2026,9,28),Senin!$A$7:$A$146,"&lt;="&amp;DATE(2026,10,4))+SUMIFS(Selasa!$H$7:$H$166,Selasa!$C$7:$C$166,$B10,Selasa!$A$7:$A$166,"&gt;="&amp;DATE(2026,9,28),Selasa!$A$7:$A$166,"&lt;="&amp;DATE(2026,10,4))+SUMIFS(Rabu!$H$7:$H$206,Rabu!$C$7:$C$206,$B10,Rabu!$A$7:$A$206,"&gt;="&amp;DATE(2026,9,28),Rabu!$A$7:$A$206,"&lt;="&amp;DATE(2026,10,4))+SUMIFS(Kamis!$H$7:$H$186,Kamis!$C$7:$C$186,$B10,Kamis!$A$7:$A$186,"&gt;="&amp;DATE(2026,9,28),Kamis!$A$7:$A$186,"&lt;="&amp;DATE(2026,10,4))+SUMIFS(Jumat!$H$7:$H$186,Jumat!$C$7:$C$186,$B10,Jumat!$A$7:$A$186,"&gt;="&amp;DATE(2026,9,28),Jumat!$A$7:$A$186,"&lt;="&amp;DATE(2026,10,4))</f>
        <v>0</v>
      </c>
      <c r="P10" s="45">
        <f>SUMIFS(Senin!$H$7:$H$146,Senin!$C$7:$C$146,$B10,Senin!$A$7:$A$146,"&gt;="&amp;DATE(2026,10,5),Senin!$A$7:$A$146,"&lt;="&amp;DATE(2026,10,11))+SUMIFS(Selasa!$H$7:$H$166,Selasa!$C$7:$C$166,$B10,Selasa!$A$7:$A$166,"&gt;="&amp;DATE(2026,10,5),Selasa!$A$7:$A$166,"&lt;="&amp;DATE(2026,10,11))+SUMIFS(Rabu!$H$7:$H$206,Rabu!$C$7:$C$206,$B10,Rabu!$A$7:$A$206,"&gt;="&amp;DATE(2026,10,5),Rabu!$A$7:$A$206,"&lt;="&amp;DATE(2026,10,11))+SUMIFS(Kamis!$H$7:$H$186,Kamis!$C$7:$C$186,$B10,Kamis!$A$7:$A$186,"&gt;="&amp;DATE(2026,10,5),Kamis!$A$7:$A$186,"&lt;="&amp;DATE(2026,10,11))+SUMIFS(Jumat!$H$7:$H$186,Jumat!$C$7:$C$186,$B10,Jumat!$A$7:$A$186,"&gt;="&amp;DATE(2026,10,5),Jumat!$A$7:$A$186,"&lt;="&amp;DATE(2026,10,11))</f>
        <v>0</v>
      </c>
      <c r="Q10" s="45">
        <f>SUMIFS(Senin!$H$7:$H$146,Senin!$C$7:$C$146,$B10,Senin!$A$7:$A$146,"&gt;="&amp;DATE(2026,10,12),Senin!$A$7:$A$146,"&lt;="&amp;DATE(2026,10,18))+SUMIFS(Selasa!$H$7:$H$166,Selasa!$C$7:$C$166,$B10,Selasa!$A$7:$A$166,"&gt;="&amp;DATE(2026,10,12),Selasa!$A$7:$A$166,"&lt;="&amp;DATE(2026,10,18))+SUMIFS(Rabu!$H$7:$H$206,Rabu!$C$7:$C$206,$B10,Rabu!$A$7:$A$206,"&gt;="&amp;DATE(2026,10,12),Rabu!$A$7:$A$206,"&lt;="&amp;DATE(2026,10,18))+SUMIFS(Kamis!$H$7:$H$186,Kamis!$C$7:$C$186,$B10,Kamis!$A$7:$A$186,"&gt;="&amp;DATE(2026,10,12),Kamis!$A$7:$A$186,"&lt;="&amp;DATE(2026,10,18))+SUMIFS(Jumat!$H$7:$H$186,Jumat!$C$7:$C$186,$B10,Jumat!$A$7:$A$186,"&gt;="&amp;DATE(2026,10,12),Jumat!$A$7:$A$186,"&lt;="&amp;DATE(2026,10,18))</f>
        <v>0</v>
      </c>
      <c r="R10" s="45">
        <f>SUMIFS(Senin!$H$7:$H$146,Senin!$C$7:$C$146,$B10,Senin!$A$7:$A$146,"&gt;="&amp;DATE(2026,10,19),Senin!$A$7:$A$146,"&lt;="&amp;DATE(2026,10,25))+SUMIFS(Selasa!$H$7:$H$166,Selasa!$C$7:$C$166,$B10,Selasa!$A$7:$A$166,"&gt;="&amp;DATE(2026,10,19),Selasa!$A$7:$A$166,"&lt;="&amp;DATE(2026,10,25))+SUMIFS(Rabu!$H$7:$H$206,Rabu!$C$7:$C$206,$B10,Rabu!$A$7:$A$206,"&gt;="&amp;DATE(2026,10,19),Rabu!$A$7:$A$206,"&lt;="&amp;DATE(2026,10,25))+SUMIFS(Kamis!$H$7:$H$186,Kamis!$C$7:$C$186,$B10,Kamis!$A$7:$A$186,"&gt;="&amp;DATE(2026,10,19),Kamis!$A$7:$A$186,"&lt;="&amp;DATE(2026,10,25))+SUMIFS(Jumat!$H$7:$H$186,Jumat!$C$7:$C$186,$B10,Jumat!$A$7:$A$186,"&gt;="&amp;DATE(2026,10,19),Jumat!$A$7:$A$186,"&lt;="&amp;DATE(2026,10,25))</f>
        <v>0</v>
      </c>
      <c r="S10" s="45">
        <f>SUMIFS(Senin!$H$7:$H$146,Senin!$C$7:$C$146,$B10,Senin!$A$7:$A$146,"&gt;="&amp;DATE(2026,10,26),Senin!$A$7:$A$146,"&lt;="&amp;DATE(2026,11,1))+SUMIFS(Selasa!$H$7:$H$166,Selasa!$C$7:$C$166,$B10,Selasa!$A$7:$A$166,"&gt;="&amp;DATE(2026,10,26),Selasa!$A$7:$A$166,"&lt;="&amp;DATE(2026,11,1))+SUMIFS(Rabu!$H$7:$H$206,Rabu!$C$7:$C$206,$B10,Rabu!$A$7:$A$206,"&gt;="&amp;DATE(2026,10,26),Rabu!$A$7:$A$206,"&lt;="&amp;DATE(2026,11,1))+SUMIFS(Kamis!$H$7:$H$186,Kamis!$C$7:$C$186,$B10,Kamis!$A$7:$A$186,"&gt;="&amp;DATE(2026,10,26),Kamis!$A$7:$A$186,"&lt;="&amp;DATE(2026,11,1))+SUMIFS(Jumat!$H$7:$H$186,Jumat!$C$7:$C$186,$B10,Jumat!$A$7:$A$186,"&gt;="&amp;DATE(2026,10,26),Jumat!$A$7:$A$186,"&lt;="&amp;DATE(2026,11,1))</f>
        <v>0</v>
      </c>
      <c r="T10" s="45">
        <f>SUMIFS(Senin!$H$7:$H$146,Senin!$C$7:$C$146,$B10,Senin!$A$7:$A$146,"&gt;="&amp;DATE(2026,11,2),Senin!$A$7:$A$146,"&lt;="&amp;DATE(2026,11,8))+SUMIFS(Selasa!$H$7:$H$166,Selasa!$C$7:$C$166,$B10,Selasa!$A$7:$A$166,"&gt;="&amp;DATE(2026,11,2),Selasa!$A$7:$A$166,"&lt;="&amp;DATE(2026,11,8))+SUMIFS(Rabu!$H$7:$H$206,Rabu!$C$7:$C$206,$B10,Rabu!$A$7:$A$206,"&gt;="&amp;DATE(2026,11,2),Rabu!$A$7:$A$206,"&lt;="&amp;DATE(2026,11,8))+SUMIFS(Kamis!$H$7:$H$186,Kamis!$C$7:$C$186,$B10,Kamis!$A$7:$A$186,"&gt;="&amp;DATE(2026,11,2),Kamis!$A$7:$A$186,"&lt;="&amp;DATE(2026,11,8))+SUMIFS(Jumat!$H$7:$H$186,Jumat!$C$7:$C$186,$B10,Jumat!$A$7:$A$186,"&gt;="&amp;DATE(2026,11,2),Jumat!$A$7:$A$186,"&lt;="&amp;DATE(2026,11,8))</f>
        <v>0</v>
      </c>
      <c r="U10" s="45">
        <f>SUMIFS(Senin!$H$7:$H$146,Senin!$C$7:$C$146,$B10,Senin!$A$7:$A$146,"&gt;="&amp;DATE(2026,11,9),Senin!$A$7:$A$146,"&lt;="&amp;DATE(2026,11,15))+SUMIFS(Selasa!$H$7:$H$166,Selasa!$C$7:$C$166,$B10,Selasa!$A$7:$A$166,"&gt;="&amp;DATE(2026,11,9),Selasa!$A$7:$A$166,"&lt;="&amp;DATE(2026,11,15))+SUMIFS(Rabu!$H$7:$H$206,Rabu!$C$7:$C$206,$B10,Rabu!$A$7:$A$206,"&gt;="&amp;DATE(2026,11,9),Rabu!$A$7:$A$206,"&lt;="&amp;DATE(2026,11,15))+SUMIFS(Kamis!$H$7:$H$186,Kamis!$C$7:$C$186,$B10,Kamis!$A$7:$A$186,"&gt;="&amp;DATE(2026,11,9),Kamis!$A$7:$A$186,"&lt;="&amp;DATE(2026,11,15))+SUMIFS(Jumat!$H$7:$H$186,Jumat!$C$7:$C$186,$B10,Jumat!$A$7:$A$186,"&gt;="&amp;DATE(2026,11,9),Jumat!$A$7:$A$186,"&lt;="&amp;DATE(2026,11,15))</f>
        <v>0</v>
      </c>
      <c r="V10" s="45">
        <f>SUMIFS(Senin!$H$7:$H$146,Senin!$C$7:$C$146,$B10,Senin!$A$7:$A$146,"&gt;="&amp;DATE(2026,11,16),Senin!$A$7:$A$146,"&lt;="&amp;DATE(2026,11,22))+SUMIFS(Selasa!$H$7:$H$166,Selasa!$C$7:$C$166,$B10,Selasa!$A$7:$A$166,"&gt;="&amp;DATE(2026,11,16),Selasa!$A$7:$A$166,"&lt;="&amp;DATE(2026,11,22))+SUMIFS(Rabu!$H$7:$H$206,Rabu!$C$7:$C$206,$B10,Rabu!$A$7:$A$206,"&gt;="&amp;DATE(2026,11,16),Rabu!$A$7:$A$206,"&lt;="&amp;DATE(2026,11,22))+SUMIFS(Kamis!$H$7:$H$186,Kamis!$C$7:$C$186,$B10,Kamis!$A$7:$A$186,"&gt;="&amp;DATE(2026,11,16),Kamis!$A$7:$A$186,"&lt;="&amp;DATE(2026,11,22))+SUMIFS(Jumat!$H$7:$H$186,Jumat!$C$7:$C$186,$B10,Jumat!$A$7:$A$186,"&gt;="&amp;DATE(2026,11,16),Jumat!$A$7:$A$186,"&lt;="&amp;DATE(2026,11,22))</f>
        <v>0</v>
      </c>
      <c r="W10" s="45">
        <f>SUMIFS(Senin!$H$7:$H$146,Senin!$C$7:$C$146,$B10,Senin!$A$7:$A$146,"&gt;="&amp;DATE(2026,11,23),Senin!$A$7:$A$146,"&lt;="&amp;DATE(2026,11,29))+SUMIFS(Selasa!$H$7:$H$166,Selasa!$C$7:$C$166,$B10,Selasa!$A$7:$A$166,"&gt;="&amp;DATE(2026,11,23),Selasa!$A$7:$A$166,"&lt;="&amp;DATE(2026,11,29))+SUMIFS(Rabu!$H$7:$H$206,Rabu!$C$7:$C$206,$B10,Rabu!$A$7:$A$206,"&gt;="&amp;DATE(2026,11,23),Rabu!$A$7:$A$206,"&lt;="&amp;DATE(2026,11,29))+SUMIFS(Kamis!$H$7:$H$186,Kamis!$C$7:$C$186,$B10,Kamis!$A$7:$A$186,"&gt;="&amp;DATE(2026,11,23),Kamis!$A$7:$A$186,"&lt;="&amp;DATE(2026,11,29))+SUMIFS(Jumat!$H$7:$H$186,Jumat!$C$7:$C$186,$B10,Jumat!$A$7:$A$186,"&gt;="&amp;DATE(2026,11,23),Jumat!$A$7:$A$186,"&lt;="&amp;DATE(2026,11,29))</f>
        <v>0</v>
      </c>
      <c r="X10" s="45">
        <f>SUMIFS(Senin!$H$7:$H$146,Senin!$C$7:$C$146,$B10,Senin!$A$7:$A$146,"&gt;="&amp;DATE(2026,11,30),Senin!$A$7:$A$146,"&lt;="&amp;DATE(2026,12,6))+SUMIFS(Selasa!$H$7:$H$166,Selasa!$C$7:$C$166,$B10,Selasa!$A$7:$A$166,"&gt;="&amp;DATE(2026,11,30),Selasa!$A$7:$A$166,"&lt;="&amp;DATE(2026,12,6))+SUMIFS(Rabu!$H$7:$H$206,Rabu!$C$7:$C$206,$B10,Rabu!$A$7:$A$206,"&gt;="&amp;DATE(2026,11,30),Rabu!$A$7:$A$206,"&lt;="&amp;DATE(2026,12,6))+SUMIFS(Kamis!$H$7:$H$186,Kamis!$C$7:$C$186,$B10,Kamis!$A$7:$A$186,"&gt;="&amp;DATE(2026,11,30),Kamis!$A$7:$A$186,"&lt;="&amp;DATE(2026,12,6))+SUMIFS(Jumat!$H$7:$H$186,Jumat!$C$7:$C$186,$B10,Jumat!$A$7:$A$186,"&gt;="&amp;DATE(2026,11,30),Jumat!$A$7:$A$186,"&lt;="&amp;DATE(2026,12,6))</f>
        <v>0</v>
      </c>
      <c r="Y10" s="45">
        <f>SUMIFS(Senin!$H$7:$H$146,Senin!$C$7:$C$146,$B10,Senin!$A$7:$A$146,"&gt;="&amp;DATE(2026,12,7),Senin!$A$7:$A$146,"&lt;="&amp;DATE(2026,12,13))+SUMIFS(Selasa!$H$7:$H$166,Selasa!$C$7:$C$166,$B10,Selasa!$A$7:$A$166,"&gt;="&amp;DATE(2026,12,7),Selasa!$A$7:$A$166,"&lt;="&amp;DATE(2026,12,13))+SUMIFS(Rabu!$H$7:$H$206,Rabu!$C$7:$C$206,$B10,Rabu!$A$7:$A$206,"&gt;="&amp;DATE(2026,12,7),Rabu!$A$7:$A$206,"&lt;="&amp;DATE(2026,12,13))+SUMIFS(Kamis!$H$7:$H$186,Kamis!$C$7:$C$186,$B10,Kamis!$A$7:$A$186,"&gt;="&amp;DATE(2026,12,7),Kamis!$A$7:$A$186,"&lt;="&amp;DATE(2026,12,13))+SUMIFS(Jumat!$H$7:$H$186,Jumat!$C$7:$C$186,$B10,Jumat!$A$7:$A$186,"&gt;="&amp;DATE(2026,12,7),Jumat!$A$7:$A$186,"&lt;="&amp;DATE(2026,12,13))</f>
        <v>0</v>
      </c>
      <c r="Z10" s="45">
        <f>SUMIFS(Senin!$H$7:$H$146,Senin!$C$7:$C$146,$B10,Senin!$A$7:$A$146,"&gt;="&amp;DATE(2026,12,14),Senin!$A$7:$A$146,"&lt;="&amp;DATE(2026,12,20))+SUMIFS(Selasa!$H$7:$H$166,Selasa!$C$7:$C$166,$B10,Selasa!$A$7:$A$166,"&gt;="&amp;DATE(2026,12,14),Selasa!$A$7:$A$166,"&lt;="&amp;DATE(2026,12,20))+SUMIFS(Rabu!$H$7:$H$206,Rabu!$C$7:$C$206,$B10,Rabu!$A$7:$A$206,"&gt;="&amp;DATE(2026,12,14),Rabu!$A$7:$A$206,"&lt;="&amp;DATE(2026,12,20))+SUMIFS(Kamis!$H$7:$H$186,Kamis!$C$7:$C$186,$B10,Kamis!$A$7:$A$186,"&gt;="&amp;DATE(2026,12,14),Kamis!$A$7:$A$186,"&lt;="&amp;DATE(2026,12,20))+SUMIFS(Jumat!$H$7:$H$186,Jumat!$C$7:$C$186,$B10,Jumat!$A$7:$A$186,"&gt;="&amp;DATE(2026,12,14),Jumat!$A$7:$A$186,"&lt;="&amp;DATE(2026,12,20))</f>
        <v>0</v>
      </c>
      <c r="AA10" s="45">
        <f>SUMIFS(Senin!$H$7:$H$146,Senin!$C$7:$C$146,$B10,Senin!$A$7:$A$146,"&gt;="&amp;DATE(2026,12,21),Senin!$A$7:$A$146,"&lt;="&amp;DATE(2026,12,27))+SUMIFS(Selasa!$H$7:$H$166,Selasa!$C$7:$C$166,$B10,Selasa!$A$7:$A$166,"&gt;="&amp;DATE(2026,12,21),Selasa!$A$7:$A$166,"&lt;="&amp;DATE(2026,12,27))+SUMIFS(Rabu!$H$7:$H$206,Rabu!$C$7:$C$206,$B10,Rabu!$A$7:$A$206,"&gt;="&amp;DATE(2026,12,21),Rabu!$A$7:$A$206,"&lt;="&amp;DATE(2026,12,27))+SUMIFS(Kamis!$H$7:$H$186,Kamis!$C$7:$C$186,$B10,Kamis!$A$7:$A$186,"&gt;="&amp;DATE(2026,12,21),Kamis!$A$7:$A$186,"&lt;="&amp;DATE(2026,12,27))+SUMIFS(Jumat!$H$7:$H$186,Jumat!$C$7:$C$186,$B10,Jumat!$A$7:$A$186,"&gt;="&amp;DATE(2026,12,21),Jumat!$A$7:$A$186,"&lt;="&amp;DATE(2026,12,27))</f>
        <v>0</v>
      </c>
      <c r="AB10" s="45">
        <f>SUMIFS(Senin!$H$7:$H$146,Senin!$C$7:$C$146,$B10,Senin!$A$7:$A$146,"&gt;="&amp;DATE(2026,12,28),Senin!$A$7:$A$146,"&lt;="&amp;DATE(2027,1,3))+SUMIFS(Selasa!$H$7:$H$166,Selasa!$C$7:$C$166,$B10,Selasa!$A$7:$A$166,"&gt;="&amp;DATE(2026,12,28),Selasa!$A$7:$A$166,"&lt;="&amp;DATE(2027,1,3))+SUMIFS(Rabu!$H$7:$H$206,Rabu!$C$7:$C$206,$B10,Rabu!$A$7:$A$206,"&gt;="&amp;DATE(2026,12,28),Rabu!$A$7:$A$206,"&lt;="&amp;DATE(2027,1,3))+SUMIFS(Kamis!$H$7:$H$186,Kamis!$C$7:$C$186,$B10,Kamis!$A$7:$A$186,"&gt;="&amp;DATE(2026,12,28),Kamis!$A$7:$A$186,"&lt;="&amp;DATE(2027,1,3))+SUMIFS(Jumat!$H$7:$H$186,Jumat!$C$7:$C$186,$B10,Jumat!$A$7:$A$186,"&gt;="&amp;DATE(2026,12,28),Jumat!$A$7:$A$186,"&lt;="&amp;DATE(2027,1,3))</f>
        <v>0</v>
      </c>
      <c r="AC10" s="45">
        <f>SUMIFS(Senin!$H$7:$H$146,Senin!$C$7:$C$146,$B10,Senin!$A$7:$A$146,"&gt;="&amp;DATE(2027,1,4),Senin!$A$7:$A$146,"&lt;="&amp;DATE(2027,1,10))+SUMIFS(Selasa!$H$7:$H$166,Selasa!$C$7:$C$166,$B10,Selasa!$A$7:$A$166,"&gt;="&amp;DATE(2027,1,4),Selasa!$A$7:$A$166,"&lt;="&amp;DATE(2027,1,10))+SUMIFS(Rabu!$H$7:$H$206,Rabu!$C$7:$C$206,$B10,Rabu!$A$7:$A$206,"&gt;="&amp;DATE(2027,1,4),Rabu!$A$7:$A$206,"&lt;="&amp;DATE(2027,1,10))+SUMIFS(Kamis!$H$7:$H$186,Kamis!$C$7:$C$186,$B10,Kamis!$A$7:$A$186,"&gt;="&amp;DATE(2027,1,4),Kamis!$A$7:$A$186,"&lt;="&amp;DATE(2027,1,10))+SUMIFS(Jumat!$H$7:$H$186,Jumat!$C$7:$C$186,$B10,Jumat!$A$7:$A$186,"&gt;="&amp;DATE(2027,1,4),Jumat!$A$7:$A$186,"&lt;="&amp;DATE(2027,1,10))</f>
        <v>0</v>
      </c>
      <c r="AD10" s="45">
        <f>SUMIFS(Senin!$H$7:$H$146,Senin!$C$7:$C$146,$B10,Senin!$A$7:$A$146,"&gt;="&amp;DATE(2027,1,11),Senin!$A$7:$A$146,"&lt;="&amp;DATE(2027,1,17))+SUMIFS(Selasa!$H$7:$H$166,Selasa!$C$7:$C$166,$B10,Selasa!$A$7:$A$166,"&gt;="&amp;DATE(2027,1,11),Selasa!$A$7:$A$166,"&lt;="&amp;DATE(2027,1,17))+SUMIFS(Rabu!$H$7:$H$206,Rabu!$C$7:$C$206,$B10,Rabu!$A$7:$A$206,"&gt;="&amp;DATE(2027,1,11),Rabu!$A$7:$A$206,"&lt;="&amp;DATE(2027,1,17))+SUMIFS(Kamis!$H$7:$H$186,Kamis!$C$7:$C$186,$B10,Kamis!$A$7:$A$186,"&gt;="&amp;DATE(2027,1,11),Kamis!$A$7:$A$186,"&lt;="&amp;DATE(2027,1,17))+SUMIFS(Jumat!$H$7:$H$186,Jumat!$C$7:$C$186,$B10,Jumat!$A$7:$A$186,"&gt;="&amp;DATE(2027,1,11),Jumat!$A$7:$A$186,"&lt;="&amp;DATE(2027,1,17))</f>
        <v>0</v>
      </c>
    </row>
    <row r="11" ht="14.25" customHeight="1">
      <c r="A11" s="27">
        <v>8.0</v>
      </c>
      <c r="B11" s="61" t="s">
        <v>25</v>
      </c>
      <c r="C11" s="41">
        <f>COUNTIFS(Senin!$C$7:$C$146,$B11,Senin!$G$7:$G$146,"Ya",Senin!$E$7:$E$146,"&lt;&gt;")+COUNTIFS(Selasa!$C$7:$C$166,$B11,Selasa!$G$7:$G$166,"Ya",Selasa!$E$7:$E$166,"&lt;&gt;")+COUNTIFS(Rabu!$C$7:$C$206,$B11,Rabu!$G$7:$G$206,"Ya",Rabu!$E$7:$E$206,"&lt;&gt;")+COUNTIFS(Kamis!$C$7:$C$186,$B11,Kamis!$G$7:$G$186,"Ya",Kamis!$E$7:$E$186,"&lt;&gt;")+COUNTIFS(Jumat!$C$7:$C$186,$B11,Jumat!$G$7:$G$186,"Ya",Jumat!$E$7:$E$186,"&lt;&gt;")</f>
        <v>0</v>
      </c>
      <c r="D11" s="41">
        <f>COUNTIFS(Senin!$C$7:$C$146,$B11,Senin!$G$7:$G$146,"Ya",Senin!$E$7:$E$146,"")+COUNTIFS(Selasa!$C$7:$C$166,$B11,Selasa!$G$7:$G$166,"Ya",Selasa!$E$7:$E$166,"")+COUNTIFS(Rabu!$C$7:$C$206,$B11,Rabu!$G$7:$G$206,"Ya",Rabu!$E$7:$E$206,"")+COUNTIFS(Kamis!$C$7:$C$186,$B11,Kamis!$G$7:$G$186,"Ya",Kamis!$E$7:$E$186,"")+COUNTIFS(Jumat!$C$7:$C$186,$B11,Jumat!$G$7:$G$186,"Ya",Jumat!$E$7:$E$186,"")</f>
        <v>0</v>
      </c>
      <c r="E11" s="45">
        <f>SUMIFS(Senin!$H$7:$H$146,Senin!$C$7:$C$146,$B11,Senin!$A$7:$A$146,"&gt;="&amp;DATE(2026,8,1),Senin!$A$7:$A$146,"&lt;="&amp;DATE(2026,12,31))+SUMIFS(Selasa!$H$7:$H$166,Selasa!$C$7:$C$166,$B11,Selasa!$A$7:$A$166,"&gt;="&amp;DATE(2026,8,1),Selasa!$A$7:$A$166,"&lt;="&amp;DATE(2026,12,31))+SUMIFS(Rabu!$H$7:$H$206,Rabu!$C$7:$C$206,$B11,Rabu!$A$7:$A$206,"&gt;="&amp;DATE(2026,8,1),Rabu!$A$7:$A$206,"&lt;="&amp;DATE(2026,12,31))+SUMIFS(Kamis!$H$7:$H$186,Kamis!$C$7:$C$186,$B11,Kamis!$A$7:$A$186,"&gt;="&amp;DATE(2026,8,1),Kamis!$A$7:$A$186,"&lt;="&amp;DATE(2026,12,31))+SUMIFS(Jumat!$H$7:$H$186,Jumat!$C$7:$C$186,$B11,Jumat!$A$7:$A$186,"&gt;="&amp;DATE(2026,8,1),Jumat!$A$7:$A$186,"&lt;="&amp;DATE(2026,12,31))</f>
        <v>0</v>
      </c>
      <c r="F11" s="45">
        <f>SUMIFS(Senin!$H$7:$H$146,Senin!$C$7:$C$146,$B11,Senin!$A$7:$A$146,"&gt;="&amp;DATE(2026,8,1),Senin!$A$7:$A$146,"&lt;="&amp;DATE(2026,8,31))+SUMIFS(Selasa!$H$7:$H$166,Selasa!$C$7:$C$166,$B11,Selasa!$A$7:$A$166,"&gt;="&amp;DATE(2026,8,1),Selasa!$A$7:$A$166,"&lt;="&amp;DATE(2026,8,31))+SUMIFS(Rabu!$H$7:$H$206,Rabu!$C$7:$C$206,$B11,Rabu!$A$7:$A$206,"&gt;="&amp;DATE(2026,8,1),Rabu!$A$7:$A$206,"&lt;="&amp;DATE(2026,8,31))+SUMIFS(Kamis!$H$7:$H$186,Kamis!$C$7:$C$186,$B11,Kamis!$A$7:$A$186,"&gt;="&amp;DATE(2026,8,1),Kamis!$A$7:$A$186,"&lt;="&amp;DATE(2026,8,31))+SUMIFS(Jumat!$H$7:$H$186,Jumat!$C$7:$C$186,$B11,Jumat!$A$7:$A$186,"&gt;="&amp;DATE(2026,8,1),Jumat!$A$7:$A$186,"&lt;="&amp;DATE(2026,8,31))</f>
        <v>0</v>
      </c>
      <c r="G11" s="45">
        <f>SUMIFS(Senin!$H$7:$H$146,Senin!$C$7:$C$146,$B11,Senin!$A$7:$A$146,"&gt;="&amp;DATE(2026,9,1),Senin!$A$7:$A$146,"&lt;="&amp;DATE(2026,9,30))+SUMIFS(Selasa!$H$7:$H$166,Selasa!$C$7:$C$166,$B11,Selasa!$A$7:$A$166,"&gt;="&amp;DATE(2026,9,1),Selasa!$A$7:$A$166,"&lt;="&amp;DATE(2026,9,30))+SUMIFS(Rabu!$H$7:$H$206,Rabu!$C$7:$C$206,$B11,Rabu!$A$7:$A$206,"&gt;="&amp;DATE(2026,9,1),Rabu!$A$7:$A$206,"&lt;="&amp;DATE(2026,9,30))+SUMIFS(Kamis!$H$7:$H$186,Kamis!$C$7:$C$186,$B11,Kamis!$A$7:$A$186,"&gt;="&amp;DATE(2026,9,1),Kamis!$A$7:$A$186,"&lt;="&amp;DATE(2026,9,30))+SUMIFS(Jumat!$H$7:$H$186,Jumat!$C$7:$C$186,$B11,Jumat!$A$7:$A$186,"&gt;="&amp;DATE(2026,9,1),Jumat!$A$7:$A$186,"&lt;="&amp;DATE(2026,9,30))</f>
        <v>0</v>
      </c>
      <c r="H11" s="45">
        <f>SUMIFS(Senin!$H$7:$H$146,Senin!$C$7:$C$146,$B11,Senin!$A$7:$A$146,"&gt;="&amp;DATE(2026,10,1),Senin!$A$7:$A$146,"&lt;="&amp;DATE(2026,10,31))+SUMIFS(Selasa!$H$7:$H$166,Selasa!$C$7:$C$166,$B11,Selasa!$A$7:$A$166,"&gt;="&amp;DATE(2026,10,1),Selasa!$A$7:$A$166,"&lt;="&amp;DATE(2026,10,31))+SUMIFS(Rabu!$H$7:$H$206,Rabu!$C$7:$C$206,$B11,Rabu!$A$7:$A$206,"&gt;="&amp;DATE(2026,10,1),Rabu!$A$7:$A$206,"&lt;="&amp;DATE(2026,10,31))+SUMIFS(Kamis!$H$7:$H$186,Kamis!$C$7:$C$186,$B11,Kamis!$A$7:$A$186,"&gt;="&amp;DATE(2026,10,1),Kamis!$A$7:$A$186,"&lt;="&amp;DATE(2026,10,31))+SUMIFS(Jumat!$H$7:$H$186,Jumat!$C$7:$C$186,$B11,Jumat!$A$7:$A$186,"&gt;="&amp;DATE(2026,10,1),Jumat!$A$7:$A$186,"&lt;="&amp;DATE(2026,10,31))</f>
        <v>0</v>
      </c>
      <c r="I11" s="45">
        <f>SUMIFS(Senin!$H$7:$H$146,Senin!$C$7:$C$146,$B11,Senin!$A$7:$A$146,"&gt;="&amp;DATE(2026,11,1),Senin!$A$7:$A$146,"&lt;="&amp;DATE(2026,11,30))+SUMIFS(Selasa!$H$7:$H$166,Selasa!$C$7:$C$166,$B11,Selasa!$A$7:$A$166,"&gt;="&amp;DATE(2026,11,1),Selasa!$A$7:$A$166,"&lt;="&amp;DATE(2026,11,30))+SUMIFS(Rabu!$H$7:$H$206,Rabu!$C$7:$C$206,$B11,Rabu!$A$7:$A$206,"&gt;="&amp;DATE(2026,11,1),Rabu!$A$7:$A$206,"&lt;="&amp;DATE(2026,11,30))+SUMIFS(Kamis!$H$7:$H$186,Kamis!$C$7:$C$186,$B11,Kamis!$A$7:$A$186,"&gt;="&amp;DATE(2026,11,1),Kamis!$A$7:$A$186,"&lt;="&amp;DATE(2026,11,30))+SUMIFS(Jumat!$H$7:$H$186,Jumat!$C$7:$C$186,$B11,Jumat!$A$7:$A$186,"&gt;="&amp;DATE(2026,11,1),Jumat!$A$7:$A$186,"&lt;="&amp;DATE(2026,11,30))</f>
        <v>0</v>
      </c>
      <c r="J11" s="45">
        <f>SUMIFS(Senin!$H$7:$H$146,Senin!$C$7:$C$146,$B11,Senin!$A$7:$A$146,"&gt;="&amp;DATE(2026,12,1),Senin!$A$7:$A$146,"&lt;="&amp;DATE(2026,12,31))+SUMIFS(Selasa!$H$7:$H$166,Selasa!$C$7:$C$166,$B11,Selasa!$A$7:$A$166,"&gt;="&amp;DATE(2026,12,1),Selasa!$A$7:$A$166,"&lt;="&amp;DATE(2026,12,31))+SUMIFS(Rabu!$H$7:$H$206,Rabu!$C$7:$C$206,$B11,Rabu!$A$7:$A$206,"&gt;="&amp;DATE(2026,12,1),Rabu!$A$7:$A$206,"&lt;="&amp;DATE(2026,12,31))+SUMIFS(Kamis!$H$7:$H$186,Kamis!$C$7:$C$186,$B11,Kamis!$A$7:$A$186,"&gt;="&amp;DATE(2026,12,1),Kamis!$A$7:$A$186,"&lt;="&amp;DATE(2026,12,31))+SUMIFS(Jumat!$H$7:$H$186,Jumat!$C$7:$C$186,$B11,Jumat!$A$7:$A$186,"&gt;="&amp;DATE(2026,12,1),Jumat!$A$7:$A$186,"&lt;="&amp;DATE(2026,12,31))</f>
        <v>0</v>
      </c>
      <c r="K11" s="45">
        <f>SUMIFS(Senin!$H$7:$H$146,Senin!$C$7:$C$146,$B11,Senin!$A$7:$A$146,"&gt;="&amp;DATE(2026,8,31),Senin!$A$7:$A$146,"&lt;="&amp;DATE(2026,9,6))+SUMIFS(Selasa!$H$7:$H$166,Selasa!$C$7:$C$166,$B11,Selasa!$A$7:$A$166,"&gt;="&amp;DATE(2026,8,31),Selasa!$A$7:$A$166,"&lt;="&amp;DATE(2026,9,6))+SUMIFS(Rabu!$H$7:$H$206,Rabu!$C$7:$C$206,$B11,Rabu!$A$7:$A$206,"&gt;="&amp;DATE(2026,8,31),Rabu!$A$7:$A$206,"&lt;="&amp;DATE(2026,9,6))+SUMIFS(Kamis!$H$7:$H$186,Kamis!$C$7:$C$186,$B11,Kamis!$A$7:$A$186,"&gt;="&amp;DATE(2026,8,31),Kamis!$A$7:$A$186,"&lt;="&amp;DATE(2026,9,6))+SUMIFS(Jumat!$H$7:$H$186,Jumat!$C$7:$C$186,$B11,Jumat!$A$7:$A$186,"&gt;="&amp;DATE(2026,8,31),Jumat!$A$7:$A$186,"&lt;="&amp;DATE(2026,9,6))</f>
        <v>0</v>
      </c>
      <c r="L11" s="45">
        <f>SUMIFS(Senin!$H$7:$H$146,Senin!$C$7:$C$146,$B11,Senin!$A$7:$A$146,"&gt;="&amp;DATE(2026,9,7),Senin!$A$7:$A$146,"&lt;="&amp;DATE(2026,9,13))+SUMIFS(Selasa!$H$7:$H$166,Selasa!$C$7:$C$166,$B11,Selasa!$A$7:$A$166,"&gt;="&amp;DATE(2026,9,7),Selasa!$A$7:$A$166,"&lt;="&amp;DATE(2026,9,13))+SUMIFS(Rabu!$H$7:$H$206,Rabu!$C$7:$C$206,$B11,Rabu!$A$7:$A$206,"&gt;="&amp;DATE(2026,9,7),Rabu!$A$7:$A$206,"&lt;="&amp;DATE(2026,9,13))+SUMIFS(Kamis!$H$7:$H$186,Kamis!$C$7:$C$186,$B11,Kamis!$A$7:$A$186,"&gt;="&amp;DATE(2026,9,7),Kamis!$A$7:$A$186,"&lt;="&amp;DATE(2026,9,13))+SUMIFS(Jumat!$H$7:$H$186,Jumat!$C$7:$C$186,$B11,Jumat!$A$7:$A$186,"&gt;="&amp;DATE(2026,9,7),Jumat!$A$7:$A$186,"&lt;="&amp;DATE(2026,9,13))</f>
        <v>0</v>
      </c>
      <c r="M11" s="45">
        <f>SUMIFS(Senin!$H$7:$H$146,Senin!$C$7:$C$146,$B11,Senin!$A$7:$A$146,"&gt;="&amp;DATE(2026,9,14),Senin!$A$7:$A$146,"&lt;="&amp;DATE(2026,9,20))+SUMIFS(Selasa!$H$7:$H$166,Selasa!$C$7:$C$166,$B11,Selasa!$A$7:$A$166,"&gt;="&amp;DATE(2026,9,14),Selasa!$A$7:$A$166,"&lt;="&amp;DATE(2026,9,20))+SUMIFS(Rabu!$H$7:$H$206,Rabu!$C$7:$C$206,$B11,Rabu!$A$7:$A$206,"&gt;="&amp;DATE(2026,9,14),Rabu!$A$7:$A$206,"&lt;="&amp;DATE(2026,9,20))+SUMIFS(Kamis!$H$7:$H$186,Kamis!$C$7:$C$186,$B11,Kamis!$A$7:$A$186,"&gt;="&amp;DATE(2026,9,14),Kamis!$A$7:$A$186,"&lt;="&amp;DATE(2026,9,20))+SUMIFS(Jumat!$H$7:$H$186,Jumat!$C$7:$C$186,$B11,Jumat!$A$7:$A$186,"&gt;="&amp;DATE(2026,9,14),Jumat!$A$7:$A$186,"&lt;="&amp;DATE(2026,9,20))</f>
        <v>0</v>
      </c>
      <c r="N11" s="45">
        <f>SUMIFS(Senin!$H$7:$H$146,Senin!$C$7:$C$146,$B11,Senin!$A$7:$A$146,"&gt;="&amp;DATE(2026,9,21),Senin!$A$7:$A$146,"&lt;="&amp;DATE(2026,9,27))+SUMIFS(Selasa!$H$7:$H$166,Selasa!$C$7:$C$166,$B11,Selasa!$A$7:$A$166,"&gt;="&amp;DATE(2026,9,21),Selasa!$A$7:$A$166,"&lt;="&amp;DATE(2026,9,27))+SUMIFS(Rabu!$H$7:$H$206,Rabu!$C$7:$C$206,$B11,Rabu!$A$7:$A$206,"&gt;="&amp;DATE(2026,9,21),Rabu!$A$7:$A$206,"&lt;="&amp;DATE(2026,9,27))+SUMIFS(Kamis!$H$7:$H$186,Kamis!$C$7:$C$186,$B11,Kamis!$A$7:$A$186,"&gt;="&amp;DATE(2026,9,21),Kamis!$A$7:$A$186,"&lt;="&amp;DATE(2026,9,27))+SUMIFS(Jumat!$H$7:$H$186,Jumat!$C$7:$C$186,$B11,Jumat!$A$7:$A$186,"&gt;="&amp;DATE(2026,9,21),Jumat!$A$7:$A$186,"&lt;="&amp;DATE(2026,9,27))</f>
        <v>0</v>
      </c>
      <c r="O11" s="45">
        <f>SUMIFS(Senin!$H$7:$H$146,Senin!$C$7:$C$146,$B11,Senin!$A$7:$A$146,"&gt;="&amp;DATE(2026,9,28),Senin!$A$7:$A$146,"&lt;="&amp;DATE(2026,10,4))+SUMIFS(Selasa!$H$7:$H$166,Selasa!$C$7:$C$166,$B11,Selasa!$A$7:$A$166,"&gt;="&amp;DATE(2026,9,28),Selasa!$A$7:$A$166,"&lt;="&amp;DATE(2026,10,4))+SUMIFS(Rabu!$H$7:$H$206,Rabu!$C$7:$C$206,$B11,Rabu!$A$7:$A$206,"&gt;="&amp;DATE(2026,9,28),Rabu!$A$7:$A$206,"&lt;="&amp;DATE(2026,10,4))+SUMIFS(Kamis!$H$7:$H$186,Kamis!$C$7:$C$186,$B11,Kamis!$A$7:$A$186,"&gt;="&amp;DATE(2026,9,28),Kamis!$A$7:$A$186,"&lt;="&amp;DATE(2026,10,4))+SUMIFS(Jumat!$H$7:$H$186,Jumat!$C$7:$C$186,$B11,Jumat!$A$7:$A$186,"&gt;="&amp;DATE(2026,9,28),Jumat!$A$7:$A$186,"&lt;="&amp;DATE(2026,10,4))</f>
        <v>0</v>
      </c>
      <c r="P11" s="45">
        <f>SUMIFS(Senin!$H$7:$H$146,Senin!$C$7:$C$146,$B11,Senin!$A$7:$A$146,"&gt;="&amp;DATE(2026,10,5),Senin!$A$7:$A$146,"&lt;="&amp;DATE(2026,10,11))+SUMIFS(Selasa!$H$7:$H$166,Selasa!$C$7:$C$166,$B11,Selasa!$A$7:$A$166,"&gt;="&amp;DATE(2026,10,5),Selasa!$A$7:$A$166,"&lt;="&amp;DATE(2026,10,11))+SUMIFS(Rabu!$H$7:$H$206,Rabu!$C$7:$C$206,$B11,Rabu!$A$7:$A$206,"&gt;="&amp;DATE(2026,10,5),Rabu!$A$7:$A$206,"&lt;="&amp;DATE(2026,10,11))+SUMIFS(Kamis!$H$7:$H$186,Kamis!$C$7:$C$186,$B11,Kamis!$A$7:$A$186,"&gt;="&amp;DATE(2026,10,5),Kamis!$A$7:$A$186,"&lt;="&amp;DATE(2026,10,11))+SUMIFS(Jumat!$H$7:$H$186,Jumat!$C$7:$C$186,$B11,Jumat!$A$7:$A$186,"&gt;="&amp;DATE(2026,10,5),Jumat!$A$7:$A$186,"&lt;="&amp;DATE(2026,10,11))</f>
        <v>0</v>
      </c>
      <c r="Q11" s="45">
        <f>SUMIFS(Senin!$H$7:$H$146,Senin!$C$7:$C$146,$B11,Senin!$A$7:$A$146,"&gt;="&amp;DATE(2026,10,12),Senin!$A$7:$A$146,"&lt;="&amp;DATE(2026,10,18))+SUMIFS(Selasa!$H$7:$H$166,Selasa!$C$7:$C$166,$B11,Selasa!$A$7:$A$166,"&gt;="&amp;DATE(2026,10,12),Selasa!$A$7:$A$166,"&lt;="&amp;DATE(2026,10,18))+SUMIFS(Rabu!$H$7:$H$206,Rabu!$C$7:$C$206,$B11,Rabu!$A$7:$A$206,"&gt;="&amp;DATE(2026,10,12),Rabu!$A$7:$A$206,"&lt;="&amp;DATE(2026,10,18))+SUMIFS(Kamis!$H$7:$H$186,Kamis!$C$7:$C$186,$B11,Kamis!$A$7:$A$186,"&gt;="&amp;DATE(2026,10,12),Kamis!$A$7:$A$186,"&lt;="&amp;DATE(2026,10,18))+SUMIFS(Jumat!$H$7:$H$186,Jumat!$C$7:$C$186,$B11,Jumat!$A$7:$A$186,"&gt;="&amp;DATE(2026,10,12),Jumat!$A$7:$A$186,"&lt;="&amp;DATE(2026,10,18))</f>
        <v>0</v>
      </c>
      <c r="R11" s="45">
        <f>SUMIFS(Senin!$H$7:$H$146,Senin!$C$7:$C$146,$B11,Senin!$A$7:$A$146,"&gt;="&amp;DATE(2026,10,19),Senin!$A$7:$A$146,"&lt;="&amp;DATE(2026,10,25))+SUMIFS(Selasa!$H$7:$H$166,Selasa!$C$7:$C$166,$B11,Selasa!$A$7:$A$166,"&gt;="&amp;DATE(2026,10,19),Selasa!$A$7:$A$166,"&lt;="&amp;DATE(2026,10,25))+SUMIFS(Rabu!$H$7:$H$206,Rabu!$C$7:$C$206,$B11,Rabu!$A$7:$A$206,"&gt;="&amp;DATE(2026,10,19),Rabu!$A$7:$A$206,"&lt;="&amp;DATE(2026,10,25))+SUMIFS(Kamis!$H$7:$H$186,Kamis!$C$7:$C$186,$B11,Kamis!$A$7:$A$186,"&gt;="&amp;DATE(2026,10,19),Kamis!$A$7:$A$186,"&lt;="&amp;DATE(2026,10,25))+SUMIFS(Jumat!$H$7:$H$186,Jumat!$C$7:$C$186,$B11,Jumat!$A$7:$A$186,"&gt;="&amp;DATE(2026,10,19),Jumat!$A$7:$A$186,"&lt;="&amp;DATE(2026,10,25))</f>
        <v>0</v>
      </c>
      <c r="S11" s="45">
        <f>SUMIFS(Senin!$H$7:$H$146,Senin!$C$7:$C$146,$B11,Senin!$A$7:$A$146,"&gt;="&amp;DATE(2026,10,26),Senin!$A$7:$A$146,"&lt;="&amp;DATE(2026,11,1))+SUMIFS(Selasa!$H$7:$H$166,Selasa!$C$7:$C$166,$B11,Selasa!$A$7:$A$166,"&gt;="&amp;DATE(2026,10,26),Selasa!$A$7:$A$166,"&lt;="&amp;DATE(2026,11,1))+SUMIFS(Rabu!$H$7:$H$206,Rabu!$C$7:$C$206,$B11,Rabu!$A$7:$A$206,"&gt;="&amp;DATE(2026,10,26),Rabu!$A$7:$A$206,"&lt;="&amp;DATE(2026,11,1))+SUMIFS(Kamis!$H$7:$H$186,Kamis!$C$7:$C$186,$B11,Kamis!$A$7:$A$186,"&gt;="&amp;DATE(2026,10,26),Kamis!$A$7:$A$186,"&lt;="&amp;DATE(2026,11,1))+SUMIFS(Jumat!$H$7:$H$186,Jumat!$C$7:$C$186,$B11,Jumat!$A$7:$A$186,"&gt;="&amp;DATE(2026,10,26),Jumat!$A$7:$A$186,"&lt;="&amp;DATE(2026,11,1))</f>
        <v>0</v>
      </c>
      <c r="T11" s="45">
        <f>SUMIFS(Senin!$H$7:$H$146,Senin!$C$7:$C$146,$B11,Senin!$A$7:$A$146,"&gt;="&amp;DATE(2026,11,2),Senin!$A$7:$A$146,"&lt;="&amp;DATE(2026,11,8))+SUMIFS(Selasa!$H$7:$H$166,Selasa!$C$7:$C$166,$B11,Selasa!$A$7:$A$166,"&gt;="&amp;DATE(2026,11,2),Selasa!$A$7:$A$166,"&lt;="&amp;DATE(2026,11,8))+SUMIFS(Rabu!$H$7:$H$206,Rabu!$C$7:$C$206,$B11,Rabu!$A$7:$A$206,"&gt;="&amp;DATE(2026,11,2),Rabu!$A$7:$A$206,"&lt;="&amp;DATE(2026,11,8))+SUMIFS(Kamis!$H$7:$H$186,Kamis!$C$7:$C$186,$B11,Kamis!$A$7:$A$186,"&gt;="&amp;DATE(2026,11,2),Kamis!$A$7:$A$186,"&lt;="&amp;DATE(2026,11,8))+SUMIFS(Jumat!$H$7:$H$186,Jumat!$C$7:$C$186,$B11,Jumat!$A$7:$A$186,"&gt;="&amp;DATE(2026,11,2),Jumat!$A$7:$A$186,"&lt;="&amp;DATE(2026,11,8))</f>
        <v>0</v>
      </c>
      <c r="U11" s="45">
        <f>SUMIFS(Senin!$H$7:$H$146,Senin!$C$7:$C$146,$B11,Senin!$A$7:$A$146,"&gt;="&amp;DATE(2026,11,9),Senin!$A$7:$A$146,"&lt;="&amp;DATE(2026,11,15))+SUMIFS(Selasa!$H$7:$H$166,Selasa!$C$7:$C$166,$B11,Selasa!$A$7:$A$166,"&gt;="&amp;DATE(2026,11,9),Selasa!$A$7:$A$166,"&lt;="&amp;DATE(2026,11,15))+SUMIFS(Rabu!$H$7:$H$206,Rabu!$C$7:$C$206,$B11,Rabu!$A$7:$A$206,"&gt;="&amp;DATE(2026,11,9),Rabu!$A$7:$A$206,"&lt;="&amp;DATE(2026,11,15))+SUMIFS(Kamis!$H$7:$H$186,Kamis!$C$7:$C$186,$B11,Kamis!$A$7:$A$186,"&gt;="&amp;DATE(2026,11,9),Kamis!$A$7:$A$186,"&lt;="&amp;DATE(2026,11,15))+SUMIFS(Jumat!$H$7:$H$186,Jumat!$C$7:$C$186,$B11,Jumat!$A$7:$A$186,"&gt;="&amp;DATE(2026,11,9),Jumat!$A$7:$A$186,"&lt;="&amp;DATE(2026,11,15))</f>
        <v>0</v>
      </c>
      <c r="V11" s="45">
        <f>SUMIFS(Senin!$H$7:$H$146,Senin!$C$7:$C$146,$B11,Senin!$A$7:$A$146,"&gt;="&amp;DATE(2026,11,16),Senin!$A$7:$A$146,"&lt;="&amp;DATE(2026,11,22))+SUMIFS(Selasa!$H$7:$H$166,Selasa!$C$7:$C$166,$B11,Selasa!$A$7:$A$166,"&gt;="&amp;DATE(2026,11,16),Selasa!$A$7:$A$166,"&lt;="&amp;DATE(2026,11,22))+SUMIFS(Rabu!$H$7:$H$206,Rabu!$C$7:$C$206,$B11,Rabu!$A$7:$A$206,"&gt;="&amp;DATE(2026,11,16),Rabu!$A$7:$A$206,"&lt;="&amp;DATE(2026,11,22))+SUMIFS(Kamis!$H$7:$H$186,Kamis!$C$7:$C$186,$B11,Kamis!$A$7:$A$186,"&gt;="&amp;DATE(2026,11,16),Kamis!$A$7:$A$186,"&lt;="&amp;DATE(2026,11,22))+SUMIFS(Jumat!$H$7:$H$186,Jumat!$C$7:$C$186,$B11,Jumat!$A$7:$A$186,"&gt;="&amp;DATE(2026,11,16),Jumat!$A$7:$A$186,"&lt;="&amp;DATE(2026,11,22))</f>
        <v>0</v>
      </c>
      <c r="W11" s="45">
        <f>SUMIFS(Senin!$H$7:$H$146,Senin!$C$7:$C$146,$B11,Senin!$A$7:$A$146,"&gt;="&amp;DATE(2026,11,23),Senin!$A$7:$A$146,"&lt;="&amp;DATE(2026,11,29))+SUMIFS(Selasa!$H$7:$H$166,Selasa!$C$7:$C$166,$B11,Selasa!$A$7:$A$166,"&gt;="&amp;DATE(2026,11,23),Selasa!$A$7:$A$166,"&lt;="&amp;DATE(2026,11,29))+SUMIFS(Rabu!$H$7:$H$206,Rabu!$C$7:$C$206,$B11,Rabu!$A$7:$A$206,"&gt;="&amp;DATE(2026,11,23),Rabu!$A$7:$A$206,"&lt;="&amp;DATE(2026,11,29))+SUMIFS(Kamis!$H$7:$H$186,Kamis!$C$7:$C$186,$B11,Kamis!$A$7:$A$186,"&gt;="&amp;DATE(2026,11,23),Kamis!$A$7:$A$186,"&lt;="&amp;DATE(2026,11,29))+SUMIFS(Jumat!$H$7:$H$186,Jumat!$C$7:$C$186,$B11,Jumat!$A$7:$A$186,"&gt;="&amp;DATE(2026,11,23),Jumat!$A$7:$A$186,"&lt;="&amp;DATE(2026,11,29))</f>
        <v>0</v>
      </c>
      <c r="X11" s="45">
        <f>SUMIFS(Senin!$H$7:$H$146,Senin!$C$7:$C$146,$B11,Senin!$A$7:$A$146,"&gt;="&amp;DATE(2026,11,30),Senin!$A$7:$A$146,"&lt;="&amp;DATE(2026,12,6))+SUMIFS(Selasa!$H$7:$H$166,Selasa!$C$7:$C$166,$B11,Selasa!$A$7:$A$166,"&gt;="&amp;DATE(2026,11,30),Selasa!$A$7:$A$166,"&lt;="&amp;DATE(2026,12,6))+SUMIFS(Rabu!$H$7:$H$206,Rabu!$C$7:$C$206,$B11,Rabu!$A$7:$A$206,"&gt;="&amp;DATE(2026,11,30),Rabu!$A$7:$A$206,"&lt;="&amp;DATE(2026,12,6))+SUMIFS(Kamis!$H$7:$H$186,Kamis!$C$7:$C$186,$B11,Kamis!$A$7:$A$186,"&gt;="&amp;DATE(2026,11,30),Kamis!$A$7:$A$186,"&lt;="&amp;DATE(2026,12,6))+SUMIFS(Jumat!$H$7:$H$186,Jumat!$C$7:$C$186,$B11,Jumat!$A$7:$A$186,"&gt;="&amp;DATE(2026,11,30),Jumat!$A$7:$A$186,"&lt;="&amp;DATE(2026,12,6))</f>
        <v>0</v>
      </c>
      <c r="Y11" s="45">
        <f>SUMIFS(Senin!$H$7:$H$146,Senin!$C$7:$C$146,$B11,Senin!$A$7:$A$146,"&gt;="&amp;DATE(2026,12,7),Senin!$A$7:$A$146,"&lt;="&amp;DATE(2026,12,13))+SUMIFS(Selasa!$H$7:$H$166,Selasa!$C$7:$C$166,$B11,Selasa!$A$7:$A$166,"&gt;="&amp;DATE(2026,12,7),Selasa!$A$7:$A$166,"&lt;="&amp;DATE(2026,12,13))+SUMIFS(Rabu!$H$7:$H$206,Rabu!$C$7:$C$206,$B11,Rabu!$A$7:$A$206,"&gt;="&amp;DATE(2026,12,7),Rabu!$A$7:$A$206,"&lt;="&amp;DATE(2026,12,13))+SUMIFS(Kamis!$H$7:$H$186,Kamis!$C$7:$C$186,$B11,Kamis!$A$7:$A$186,"&gt;="&amp;DATE(2026,12,7),Kamis!$A$7:$A$186,"&lt;="&amp;DATE(2026,12,13))+SUMIFS(Jumat!$H$7:$H$186,Jumat!$C$7:$C$186,$B11,Jumat!$A$7:$A$186,"&gt;="&amp;DATE(2026,12,7),Jumat!$A$7:$A$186,"&lt;="&amp;DATE(2026,12,13))</f>
        <v>0</v>
      </c>
      <c r="Z11" s="45">
        <f>SUMIFS(Senin!$H$7:$H$146,Senin!$C$7:$C$146,$B11,Senin!$A$7:$A$146,"&gt;="&amp;DATE(2026,12,14),Senin!$A$7:$A$146,"&lt;="&amp;DATE(2026,12,20))+SUMIFS(Selasa!$H$7:$H$166,Selasa!$C$7:$C$166,$B11,Selasa!$A$7:$A$166,"&gt;="&amp;DATE(2026,12,14),Selasa!$A$7:$A$166,"&lt;="&amp;DATE(2026,12,20))+SUMIFS(Rabu!$H$7:$H$206,Rabu!$C$7:$C$206,$B11,Rabu!$A$7:$A$206,"&gt;="&amp;DATE(2026,12,14),Rabu!$A$7:$A$206,"&lt;="&amp;DATE(2026,12,20))+SUMIFS(Kamis!$H$7:$H$186,Kamis!$C$7:$C$186,$B11,Kamis!$A$7:$A$186,"&gt;="&amp;DATE(2026,12,14),Kamis!$A$7:$A$186,"&lt;="&amp;DATE(2026,12,20))+SUMIFS(Jumat!$H$7:$H$186,Jumat!$C$7:$C$186,$B11,Jumat!$A$7:$A$186,"&gt;="&amp;DATE(2026,12,14),Jumat!$A$7:$A$186,"&lt;="&amp;DATE(2026,12,20))</f>
        <v>0</v>
      </c>
      <c r="AA11" s="45">
        <f>SUMIFS(Senin!$H$7:$H$146,Senin!$C$7:$C$146,$B11,Senin!$A$7:$A$146,"&gt;="&amp;DATE(2026,12,21),Senin!$A$7:$A$146,"&lt;="&amp;DATE(2026,12,27))+SUMIFS(Selasa!$H$7:$H$166,Selasa!$C$7:$C$166,$B11,Selasa!$A$7:$A$166,"&gt;="&amp;DATE(2026,12,21),Selasa!$A$7:$A$166,"&lt;="&amp;DATE(2026,12,27))+SUMIFS(Rabu!$H$7:$H$206,Rabu!$C$7:$C$206,$B11,Rabu!$A$7:$A$206,"&gt;="&amp;DATE(2026,12,21),Rabu!$A$7:$A$206,"&lt;="&amp;DATE(2026,12,27))+SUMIFS(Kamis!$H$7:$H$186,Kamis!$C$7:$C$186,$B11,Kamis!$A$7:$A$186,"&gt;="&amp;DATE(2026,12,21),Kamis!$A$7:$A$186,"&lt;="&amp;DATE(2026,12,27))+SUMIFS(Jumat!$H$7:$H$186,Jumat!$C$7:$C$186,$B11,Jumat!$A$7:$A$186,"&gt;="&amp;DATE(2026,12,21),Jumat!$A$7:$A$186,"&lt;="&amp;DATE(2026,12,27))</f>
        <v>0</v>
      </c>
      <c r="AB11" s="45">
        <f>SUMIFS(Senin!$H$7:$H$146,Senin!$C$7:$C$146,$B11,Senin!$A$7:$A$146,"&gt;="&amp;DATE(2026,12,28),Senin!$A$7:$A$146,"&lt;="&amp;DATE(2027,1,3))+SUMIFS(Selasa!$H$7:$H$166,Selasa!$C$7:$C$166,$B11,Selasa!$A$7:$A$166,"&gt;="&amp;DATE(2026,12,28),Selasa!$A$7:$A$166,"&lt;="&amp;DATE(2027,1,3))+SUMIFS(Rabu!$H$7:$H$206,Rabu!$C$7:$C$206,$B11,Rabu!$A$7:$A$206,"&gt;="&amp;DATE(2026,12,28),Rabu!$A$7:$A$206,"&lt;="&amp;DATE(2027,1,3))+SUMIFS(Kamis!$H$7:$H$186,Kamis!$C$7:$C$186,$B11,Kamis!$A$7:$A$186,"&gt;="&amp;DATE(2026,12,28),Kamis!$A$7:$A$186,"&lt;="&amp;DATE(2027,1,3))+SUMIFS(Jumat!$H$7:$H$186,Jumat!$C$7:$C$186,$B11,Jumat!$A$7:$A$186,"&gt;="&amp;DATE(2026,12,28),Jumat!$A$7:$A$186,"&lt;="&amp;DATE(2027,1,3))</f>
        <v>0</v>
      </c>
      <c r="AC11" s="45">
        <f>SUMIFS(Senin!$H$7:$H$146,Senin!$C$7:$C$146,$B11,Senin!$A$7:$A$146,"&gt;="&amp;DATE(2027,1,4),Senin!$A$7:$A$146,"&lt;="&amp;DATE(2027,1,10))+SUMIFS(Selasa!$H$7:$H$166,Selasa!$C$7:$C$166,$B11,Selasa!$A$7:$A$166,"&gt;="&amp;DATE(2027,1,4),Selasa!$A$7:$A$166,"&lt;="&amp;DATE(2027,1,10))+SUMIFS(Rabu!$H$7:$H$206,Rabu!$C$7:$C$206,$B11,Rabu!$A$7:$A$206,"&gt;="&amp;DATE(2027,1,4),Rabu!$A$7:$A$206,"&lt;="&amp;DATE(2027,1,10))+SUMIFS(Kamis!$H$7:$H$186,Kamis!$C$7:$C$186,$B11,Kamis!$A$7:$A$186,"&gt;="&amp;DATE(2027,1,4),Kamis!$A$7:$A$186,"&lt;="&amp;DATE(2027,1,10))+SUMIFS(Jumat!$H$7:$H$186,Jumat!$C$7:$C$186,$B11,Jumat!$A$7:$A$186,"&gt;="&amp;DATE(2027,1,4),Jumat!$A$7:$A$186,"&lt;="&amp;DATE(2027,1,10))</f>
        <v>0</v>
      </c>
      <c r="AD11" s="45">
        <f>SUMIFS(Senin!$H$7:$H$146,Senin!$C$7:$C$146,$B11,Senin!$A$7:$A$146,"&gt;="&amp;DATE(2027,1,11),Senin!$A$7:$A$146,"&lt;="&amp;DATE(2027,1,17))+SUMIFS(Selasa!$H$7:$H$166,Selasa!$C$7:$C$166,$B11,Selasa!$A$7:$A$166,"&gt;="&amp;DATE(2027,1,11),Selasa!$A$7:$A$166,"&lt;="&amp;DATE(2027,1,17))+SUMIFS(Rabu!$H$7:$H$206,Rabu!$C$7:$C$206,$B11,Rabu!$A$7:$A$206,"&gt;="&amp;DATE(2027,1,11),Rabu!$A$7:$A$206,"&lt;="&amp;DATE(2027,1,17))+SUMIFS(Kamis!$H$7:$H$186,Kamis!$C$7:$C$186,$B11,Kamis!$A$7:$A$186,"&gt;="&amp;DATE(2027,1,11),Kamis!$A$7:$A$186,"&lt;="&amp;DATE(2027,1,17))+SUMIFS(Jumat!$H$7:$H$186,Jumat!$C$7:$C$186,$B11,Jumat!$A$7:$A$186,"&gt;="&amp;DATE(2027,1,11),Jumat!$A$7:$A$186,"&lt;="&amp;DATE(2027,1,17))</f>
        <v>0</v>
      </c>
    </row>
    <row r="12" ht="14.25" customHeight="1">
      <c r="A12" s="27">
        <v>9.0</v>
      </c>
      <c r="B12" s="61" t="s">
        <v>20</v>
      </c>
      <c r="C12" s="41">
        <f>COUNTIFS(Senin!$C$7:$C$146,$B12,Senin!$G$7:$G$146,"Ya",Senin!$E$7:$E$146,"&lt;&gt;")+COUNTIFS(Selasa!$C$7:$C$166,$B12,Selasa!$G$7:$G$166,"Ya",Selasa!$E$7:$E$166,"&lt;&gt;")+COUNTIFS(Rabu!$C$7:$C$206,$B12,Rabu!$G$7:$G$206,"Ya",Rabu!$E$7:$E$206,"&lt;&gt;")+COUNTIFS(Kamis!$C$7:$C$186,$B12,Kamis!$G$7:$G$186,"Ya",Kamis!$E$7:$E$186,"&lt;&gt;")+COUNTIFS(Jumat!$C$7:$C$186,$B12,Jumat!$G$7:$G$186,"Ya",Jumat!$E$7:$E$186,"&lt;&gt;")</f>
        <v>0</v>
      </c>
      <c r="D12" s="41">
        <f>COUNTIFS(Senin!$C$7:$C$146,$B12,Senin!$G$7:$G$146,"Ya",Senin!$E$7:$E$146,"")+COUNTIFS(Selasa!$C$7:$C$166,$B12,Selasa!$G$7:$G$166,"Ya",Selasa!$E$7:$E$166,"")+COUNTIFS(Rabu!$C$7:$C$206,$B12,Rabu!$G$7:$G$206,"Ya",Rabu!$E$7:$E$206,"")+COUNTIFS(Kamis!$C$7:$C$186,$B12,Kamis!$G$7:$G$186,"Ya",Kamis!$E$7:$E$186,"")+COUNTIFS(Jumat!$C$7:$C$186,$B12,Jumat!$G$7:$G$186,"Ya",Jumat!$E$7:$E$186,"")</f>
        <v>0</v>
      </c>
      <c r="E12" s="45">
        <f>SUMIFS(Senin!$H$7:$H$146,Senin!$C$7:$C$146,$B12,Senin!$A$7:$A$146,"&gt;="&amp;DATE(2026,8,1),Senin!$A$7:$A$146,"&lt;="&amp;DATE(2026,12,31))+SUMIFS(Selasa!$H$7:$H$166,Selasa!$C$7:$C$166,$B12,Selasa!$A$7:$A$166,"&gt;="&amp;DATE(2026,8,1),Selasa!$A$7:$A$166,"&lt;="&amp;DATE(2026,12,31))+SUMIFS(Rabu!$H$7:$H$206,Rabu!$C$7:$C$206,$B12,Rabu!$A$7:$A$206,"&gt;="&amp;DATE(2026,8,1),Rabu!$A$7:$A$206,"&lt;="&amp;DATE(2026,12,31))+SUMIFS(Kamis!$H$7:$H$186,Kamis!$C$7:$C$186,$B12,Kamis!$A$7:$A$186,"&gt;="&amp;DATE(2026,8,1),Kamis!$A$7:$A$186,"&lt;="&amp;DATE(2026,12,31))+SUMIFS(Jumat!$H$7:$H$186,Jumat!$C$7:$C$186,$B12,Jumat!$A$7:$A$186,"&gt;="&amp;DATE(2026,8,1),Jumat!$A$7:$A$186,"&lt;="&amp;DATE(2026,12,31))</f>
        <v>0</v>
      </c>
      <c r="F12" s="45">
        <f>SUMIFS(Senin!$H$7:$H$146,Senin!$C$7:$C$146,$B12,Senin!$A$7:$A$146,"&gt;="&amp;DATE(2026,8,1),Senin!$A$7:$A$146,"&lt;="&amp;DATE(2026,8,31))+SUMIFS(Selasa!$H$7:$H$166,Selasa!$C$7:$C$166,$B12,Selasa!$A$7:$A$166,"&gt;="&amp;DATE(2026,8,1),Selasa!$A$7:$A$166,"&lt;="&amp;DATE(2026,8,31))+SUMIFS(Rabu!$H$7:$H$206,Rabu!$C$7:$C$206,$B12,Rabu!$A$7:$A$206,"&gt;="&amp;DATE(2026,8,1),Rabu!$A$7:$A$206,"&lt;="&amp;DATE(2026,8,31))+SUMIFS(Kamis!$H$7:$H$186,Kamis!$C$7:$C$186,$B12,Kamis!$A$7:$A$186,"&gt;="&amp;DATE(2026,8,1),Kamis!$A$7:$A$186,"&lt;="&amp;DATE(2026,8,31))+SUMIFS(Jumat!$H$7:$H$186,Jumat!$C$7:$C$186,$B12,Jumat!$A$7:$A$186,"&gt;="&amp;DATE(2026,8,1),Jumat!$A$7:$A$186,"&lt;="&amp;DATE(2026,8,31))</f>
        <v>0</v>
      </c>
      <c r="G12" s="45">
        <f>SUMIFS(Senin!$H$7:$H$146,Senin!$C$7:$C$146,$B12,Senin!$A$7:$A$146,"&gt;="&amp;DATE(2026,9,1),Senin!$A$7:$A$146,"&lt;="&amp;DATE(2026,9,30))+SUMIFS(Selasa!$H$7:$H$166,Selasa!$C$7:$C$166,$B12,Selasa!$A$7:$A$166,"&gt;="&amp;DATE(2026,9,1),Selasa!$A$7:$A$166,"&lt;="&amp;DATE(2026,9,30))+SUMIFS(Rabu!$H$7:$H$206,Rabu!$C$7:$C$206,$B12,Rabu!$A$7:$A$206,"&gt;="&amp;DATE(2026,9,1),Rabu!$A$7:$A$206,"&lt;="&amp;DATE(2026,9,30))+SUMIFS(Kamis!$H$7:$H$186,Kamis!$C$7:$C$186,$B12,Kamis!$A$7:$A$186,"&gt;="&amp;DATE(2026,9,1),Kamis!$A$7:$A$186,"&lt;="&amp;DATE(2026,9,30))+SUMIFS(Jumat!$H$7:$H$186,Jumat!$C$7:$C$186,$B12,Jumat!$A$7:$A$186,"&gt;="&amp;DATE(2026,9,1),Jumat!$A$7:$A$186,"&lt;="&amp;DATE(2026,9,30))</f>
        <v>0</v>
      </c>
      <c r="H12" s="45">
        <f>SUMIFS(Senin!$H$7:$H$146,Senin!$C$7:$C$146,$B12,Senin!$A$7:$A$146,"&gt;="&amp;DATE(2026,10,1),Senin!$A$7:$A$146,"&lt;="&amp;DATE(2026,10,31))+SUMIFS(Selasa!$H$7:$H$166,Selasa!$C$7:$C$166,$B12,Selasa!$A$7:$A$166,"&gt;="&amp;DATE(2026,10,1),Selasa!$A$7:$A$166,"&lt;="&amp;DATE(2026,10,31))+SUMIFS(Rabu!$H$7:$H$206,Rabu!$C$7:$C$206,$B12,Rabu!$A$7:$A$206,"&gt;="&amp;DATE(2026,10,1),Rabu!$A$7:$A$206,"&lt;="&amp;DATE(2026,10,31))+SUMIFS(Kamis!$H$7:$H$186,Kamis!$C$7:$C$186,$B12,Kamis!$A$7:$A$186,"&gt;="&amp;DATE(2026,10,1),Kamis!$A$7:$A$186,"&lt;="&amp;DATE(2026,10,31))+SUMIFS(Jumat!$H$7:$H$186,Jumat!$C$7:$C$186,$B12,Jumat!$A$7:$A$186,"&gt;="&amp;DATE(2026,10,1),Jumat!$A$7:$A$186,"&lt;="&amp;DATE(2026,10,31))</f>
        <v>0</v>
      </c>
      <c r="I12" s="45">
        <f>SUMIFS(Senin!$H$7:$H$146,Senin!$C$7:$C$146,$B12,Senin!$A$7:$A$146,"&gt;="&amp;DATE(2026,11,1),Senin!$A$7:$A$146,"&lt;="&amp;DATE(2026,11,30))+SUMIFS(Selasa!$H$7:$H$166,Selasa!$C$7:$C$166,$B12,Selasa!$A$7:$A$166,"&gt;="&amp;DATE(2026,11,1),Selasa!$A$7:$A$166,"&lt;="&amp;DATE(2026,11,30))+SUMIFS(Rabu!$H$7:$H$206,Rabu!$C$7:$C$206,$B12,Rabu!$A$7:$A$206,"&gt;="&amp;DATE(2026,11,1),Rabu!$A$7:$A$206,"&lt;="&amp;DATE(2026,11,30))+SUMIFS(Kamis!$H$7:$H$186,Kamis!$C$7:$C$186,$B12,Kamis!$A$7:$A$186,"&gt;="&amp;DATE(2026,11,1),Kamis!$A$7:$A$186,"&lt;="&amp;DATE(2026,11,30))+SUMIFS(Jumat!$H$7:$H$186,Jumat!$C$7:$C$186,$B12,Jumat!$A$7:$A$186,"&gt;="&amp;DATE(2026,11,1),Jumat!$A$7:$A$186,"&lt;="&amp;DATE(2026,11,30))</f>
        <v>0</v>
      </c>
      <c r="J12" s="45">
        <f>SUMIFS(Senin!$H$7:$H$146,Senin!$C$7:$C$146,$B12,Senin!$A$7:$A$146,"&gt;="&amp;DATE(2026,12,1),Senin!$A$7:$A$146,"&lt;="&amp;DATE(2026,12,31))+SUMIFS(Selasa!$H$7:$H$166,Selasa!$C$7:$C$166,$B12,Selasa!$A$7:$A$166,"&gt;="&amp;DATE(2026,12,1),Selasa!$A$7:$A$166,"&lt;="&amp;DATE(2026,12,31))+SUMIFS(Rabu!$H$7:$H$206,Rabu!$C$7:$C$206,$B12,Rabu!$A$7:$A$206,"&gt;="&amp;DATE(2026,12,1),Rabu!$A$7:$A$206,"&lt;="&amp;DATE(2026,12,31))+SUMIFS(Kamis!$H$7:$H$186,Kamis!$C$7:$C$186,$B12,Kamis!$A$7:$A$186,"&gt;="&amp;DATE(2026,12,1),Kamis!$A$7:$A$186,"&lt;="&amp;DATE(2026,12,31))+SUMIFS(Jumat!$H$7:$H$186,Jumat!$C$7:$C$186,$B12,Jumat!$A$7:$A$186,"&gt;="&amp;DATE(2026,12,1),Jumat!$A$7:$A$186,"&lt;="&amp;DATE(2026,12,31))</f>
        <v>0</v>
      </c>
      <c r="K12" s="45">
        <f>SUMIFS(Senin!$H$7:$H$146,Senin!$C$7:$C$146,$B12,Senin!$A$7:$A$146,"&gt;="&amp;DATE(2026,8,31),Senin!$A$7:$A$146,"&lt;="&amp;DATE(2026,9,6))+SUMIFS(Selasa!$H$7:$H$166,Selasa!$C$7:$C$166,$B12,Selasa!$A$7:$A$166,"&gt;="&amp;DATE(2026,8,31),Selasa!$A$7:$A$166,"&lt;="&amp;DATE(2026,9,6))+SUMIFS(Rabu!$H$7:$H$206,Rabu!$C$7:$C$206,$B12,Rabu!$A$7:$A$206,"&gt;="&amp;DATE(2026,8,31),Rabu!$A$7:$A$206,"&lt;="&amp;DATE(2026,9,6))+SUMIFS(Kamis!$H$7:$H$186,Kamis!$C$7:$C$186,$B12,Kamis!$A$7:$A$186,"&gt;="&amp;DATE(2026,8,31),Kamis!$A$7:$A$186,"&lt;="&amp;DATE(2026,9,6))+SUMIFS(Jumat!$H$7:$H$186,Jumat!$C$7:$C$186,$B12,Jumat!$A$7:$A$186,"&gt;="&amp;DATE(2026,8,31),Jumat!$A$7:$A$186,"&lt;="&amp;DATE(2026,9,6))</f>
        <v>0</v>
      </c>
      <c r="L12" s="45">
        <f>SUMIFS(Senin!$H$7:$H$146,Senin!$C$7:$C$146,$B12,Senin!$A$7:$A$146,"&gt;="&amp;DATE(2026,9,7),Senin!$A$7:$A$146,"&lt;="&amp;DATE(2026,9,13))+SUMIFS(Selasa!$H$7:$H$166,Selasa!$C$7:$C$166,$B12,Selasa!$A$7:$A$166,"&gt;="&amp;DATE(2026,9,7),Selasa!$A$7:$A$166,"&lt;="&amp;DATE(2026,9,13))+SUMIFS(Rabu!$H$7:$H$206,Rabu!$C$7:$C$206,$B12,Rabu!$A$7:$A$206,"&gt;="&amp;DATE(2026,9,7),Rabu!$A$7:$A$206,"&lt;="&amp;DATE(2026,9,13))+SUMIFS(Kamis!$H$7:$H$186,Kamis!$C$7:$C$186,$B12,Kamis!$A$7:$A$186,"&gt;="&amp;DATE(2026,9,7),Kamis!$A$7:$A$186,"&lt;="&amp;DATE(2026,9,13))+SUMIFS(Jumat!$H$7:$H$186,Jumat!$C$7:$C$186,$B12,Jumat!$A$7:$A$186,"&gt;="&amp;DATE(2026,9,7),Jumat!$A$7:$A$186,"&lt;="&amp;DATE(2026,9,13))</f>
        <v>0</v>
      </c>
      <c r="M12" s="45">
        <f>SUMIFS(Senin!$H$7:$H$146,Senin!$C$7:$C$146,$B12,Senin!$A$7:$A$146,"&gt;="&amp;DATE(2026,9,14),Senin!$A$7:$A$146,"&lt;="&amp;DATE(2026,9,20))+SUMIFS(Selasa!$H$7:$H$166,Selasa!$C$7:$C$166,$B12,Selasa!$A$7:$A$166,"&gt;="&amp;DATE(2026,9,14),Selasa!$A$7:$A$166,"&lt;="&amp;DATE(2026,9,20))+SUMIFS(Rabu!$H$7:$H$206,Rabu!$C$7:$C$206,$B12,Rabu!$A$7:$A$206,"&gt;="&amp;DATE(2026,9,14),Rabu!$A$7:$A$206,"&lt;="&amp;DATE(2026,9,20))+SUMIFS(Kamis!$H$7:$H$186,Kamis!$C$7:$C$186,$B12,Kamis!$A$7:$A$186,"&gt;="&amp;DATE(2026,9,14),Kamis!$A$7:$A$186,"&lt;="&amp;DATE(2026,9,20))+SUMIFS(Jumat!$H$7:$H$186,Jumat!$C$7:$C$186,$B12,Jumat!$A$7:$A$186,"&gt;="&amp;DATE(2026,9,14),Jumat!$A$7:$A$186,"&lt;="&amp;DATE(2026,9,20))</f>
        <v>0</v>
      </c>
      <c r="N12" s="45">
        <f>SUMIFS(Senin!$H$7:$H$146,Senin!$C$7:$C$146,$B12,Senin!$A$7:$A$146,"&gt;="&amp;DATE(2026,9,21),Senin!$A$7:$A$146,"&lt;="&amp;DATE(2026,9,27))+SUMIFS(Selasa!$H$7:$H$166,Selasa!$C$7:$C$166,$B12,Selasa!$A$7:$A$166,"&gt;="&amp;DATE(2026,9,21),Selasa!$A$7:$A$166,"&lt;="&amp;DATE(2026,9,27))+SUMIFS(Rabu!$H$7:$H$206,Rabu!$C$7:$C$206,$B12,Rabu!$A$7:$A$206,"&gt;="&amp;DATE(2026,9,21),Rabu!$A$7:$A$206,"&lt;="&amp;DATE(2026,9,27))+SUMIFS(Kamis!$H$7:$H$186,Kamis!$C$7:$C$186,$B12,Kamis!$A$7:$A$186,"&gt;="&amp;DATE(2026,9,21),Kamis!$A$7:$A$186,"&lt;="&amp;DATE(2026,9,27))+SUMIFS(Jumat!$H$7:$H$186,Jumat!$C$7:$C$186,$B12,Jumat!$A$7:$A$186,"&gt;="&amp;DATE(2026,9,21),Jumat!$A$7:$A$186,"&lt;="&amp;DATE(2026,9,27))</f>
        <v>0</v>
      </c>
      <c r="O12" s="45">
        <f>SUMIFS(Senin!$H$7:$H$146,Senin!$C$7:$C$146,$B12,Senin!$A$7:$A$146,"&gt;="&amp;DATE(2026,9,28),Senin!$A$7:$A$146,"&lt;="&amp;DATE(2026,10,4))+SUMIFS(Selasa!$H$7:$H$166,Selasa!$C$7:$C$166,$B12,Selasa!$A$7:$A$166,"&gt;="&amp;DATE(2026,9,28),Selasa!$A$7:$A$166,"&lt;="&amp;DATE(2026,10,4))+SUMIFS(Rabu!$H$7:$H$206,Rabu!$C$7:$C$206,$B12,Rabu!$A$7:$A$206,"&gt;="&amp;DATE(2026,9,28),Rabu!$A$7:$A$206,"&lt;="&amp;DATE(2026,10,4))+SUMIFS(Kamis!$H$7:$H$186,Kamis!$C$7:$C$186,$B12,Kamis!$A$7:$A$186,"&gt;="&amp;DATE(2026,9,28),Kamis!$A$7:$A$186,"&lt;="&amp;DATE(2026,10,4))+SUMIFS(Jumat!$H$7:$H$186,Jumat!$C$7:$C$186,$B12,Jumat!$A$7:$A$186,"&gt;="&amp;DATE(2026,9,28),Jumat!$A$7:$A$186,"&lt;="&amp;DATE(2026,10,4))</f>
        <v>0</v>
      </c>
      <c r="P12" s="45">
        <f>SUMIFS(Senin!$H$7:$H$146,Senin!$C$7:$C$146,$B12,Senin!$A$7:$A$146,"&gt;="&amp;DATE(2026,10,5),Senin!$A$7:$A$146,"&lt;="&amp;DATE(2026,10,11))+SUMIFS(Selasa!$H$7:$H$166,Selasa!$C$7:$C$166,$B12,Selasa!$A$7:$A$166,"&gt;="&amp;DATE(2026,10,5),Selasa!$A$7:$A$166,"&lt;="&amp;DATE(2026,10,11))+SUMIFS(Rabu!$H$7:$H$206,Rabu!$C$7:$C$206,$B12,Rabu!$A$7:$A$206,"&gt;="&amp;DATE(2026,10,5),Rabu!$A$7:$A$206,"&lt;="&amp;DATE(2026,10,11))+SUMIFS(Kamis!$H$7:$H$186,Kamis!$C$7:$C$186,$B12,Kamis!$A$7:$A$186,"&gt;="&amp;DATE(2026,10,5),Kamis!$A$7:$A$186,"&lt;="&amp;DATE(2026,10,11))+SUMIFS(Jumat!$H$7:$H$186,Jumat!$C$7:$C$186,$B12,Jumat!$A$7:$A$186,"&gt;="&amp;DATE(2026,10,5),Jumat!$A$7:$A$186,"&lt;="&amp;DATE(2026,10,11))</f>
        <v>0</v>
      </c>
      <c r="Q12" s="45">
        <f>SUMIFS(Senin!$H$7:$H$146,Senin!$C$7:$C$146,$B12,Senin!$A$7:$A$146,"&gt;="&amp;DATE(2026,10,12),Senin!$A$7:$A$146,"&lt;="&amp;DATE(2026,10,18))+SUMIFS(Selasa!$H$7:$H$166,Selasa!$C$7:$C$166,$B12,Selasa!$A$7:$A$166,"&gt;="&amp;DATE(2026,10,12),Selasa!$A$7:$A$166,"&lt;="&amp;DATE(2026,10,18))+SUMIFS(Rabu!$H$7:$H$206,Rabu!$C$7:$C$206,$B12,Rabu!$A$7:$A$206,"&gt;="&amp;DATE(2026,10,12),Rabu!$A$7:$A$206,"&lt;="&amp;DATE(2026,10,18))+SUMIFS(Kamis!$H$7:$H$186,Kamis!$C$7:$C$186,$B12,Kamis!$A$7:$A$186,"&gt;="&amp;DATE(2026,10,12),Kamis!$A$7:$A$186,"&lt;="&amp;DATE(2026,10,18))+SUMIFS(Jumat!$H$7:$H$186,Jumat!$C$7:$C$186,$B12,Jumat!$A$7:$A$186,"&gt;="&amp;DATE(2026,10,12),Jumat!$A$7:$A$186,"&lt;="&amp;DATE(2026,10,18))</f>
        <v>0</v>
      </c>
      <c r="R12" s="45">
        <f>SUMIFS(Senin!$H$7:$H$146,Senin!$C$7:$C$146,$B12,Senin!$A$7:$A$146,"&gt;="&amp;DATE(2026,10,19),Senin!$A$7:$A$146,"&lt;="&amp;DATE(2026,10,25))+SUMIFS(Selasa!$H$7:$H$166,Selasa!$C$7:$C$166,$B12,Selasa!$A$7:$A$166,"&gt;="&amp;DATE(2026,10,19),Selasa!$A$7:$A$166,"&lt;="&amp;DATE(2026,10,25))+SUMIFS(Rabu!$H$7:$H$206,Rabu!$C$7:$C$206,$B12,Rabu!$A$7:$A$206,"&gt;="&amp;DATE(2026,10,19),Rabu!$A$7:$A$206,"&lt;="&amp;DATE(2026,10,25))+SUMIFS(Kamis!$H$7:$H$186,Kamis!$C$7:$C$186,$B12,Kamis!$A$7:$A$186,"&gt;="&amp;DATE(2026,10,19),Kamis!$A$7:$A$186,"&lt;="&amp;DATE(2026,10,25))+SUMIFS(Jumat!$H$7:$H$186,Jumat!$C$7:$C$186,$B12,Jumat!$A$7:$A$186,"&gt;="&amp;DATE(2026,10,19),Jumat!$A$7:$A$186,"&lt;="&amp;DATE(2026,10,25))</f>
        <v>0</v>
      </c>
      <c r="S12" s="45">
        <f>SUMIFS(Senin!$H$7:$H$146,Senin!$C$7:$C$146,$B12,Senin!$A$7:$A$146,"&gt;="&amp;DATE(2026,10,26),Senin!$A$7:$A$146,"&lt;="&amp;DATE(2026,11,1))+SUMIFS(Selasa!$H$7:$H$166,Selasa!$C$7:$C$166,$B12,Selasa!$A$7:$A$166,"&gt;="&amp;DATE(2026,10,26),Selasa!$A$7:$A$166,"&lt;="&amp;DATE(2026,11,1))+SUMIFS(Rabu!$H$7:$H$206,Rabu!$C$7:$C$206,$B12,Rabu!$A$7:$A$206,"&gt;="&amp;DATE(2026,10,26),Rabu!$A$7:$A$206,"&lt;="&amp;DATE(2026,11,1))+SUMIFS(Kamis!$H$7:$H$186,Kamis!$C$7:$C$186,$B12,Kamis!$A$7:$A$186,"&gt;="&amp;DATE(2026,10,26),Kamis!$A$7:$A$186,"&lt;="&amp;DATE(2026,11,1))+SUMIFS(Jumat!$H$7:$H$186,Jumat!$C$7:$C$186,$B12,Jumat!$A$7:$A$186,"&gt;="&amp;DATE(2026,10,26),Jumat!$A$7:$A$186,"&lt;="&amp;DATE(2026,11,1))</f>
        <v>0</v>
      </c>
      <c r="T12" s="45">
        <f>SUMIFS(Senin!$H$7:$H$146,Senin!$C$7:$C$146,$B12,Senin!$A$7:$A$146,"&gt;="&amp;DATE(2026,11,2),Senin!$A$7:$A$146,"&lt;="&amp;DATE(2026,11,8))+SUMIFS(Selasa!$H$7:$H$166,Selasa!$C$7:$C$166,$B12,Selasa!$A$7:$A$166,"&gt;="&amp;DATE(2026,11,2),Selasa!$A$7:$A$166,"&lt;="&amp;DATE(2026,11,8))+SUMIFS(Rabu!$H$7:$H$206,Rabu!$C$7:$C$206,$B12,Rabu!$A$7:$A$206,"&gt;="&amp;DATE(2026,11,2),Rabu!$A$7:$A$206,"&lt;="&amp;DATE(2026,11,8))+SUMIFS(Kamis!$H$7:$H$186,Kamis!$C$7:$C$186,$B12,Kamis!$A$7:$A$186,"&gt;="&amp;DATE(2026,11,2),Kamis!$A$7:$A$186,"&lt;="&amp;DATE(2026,11,8))+SUMIFS(Jumat!$H$7:$H$186,Jumat!$C$7:$C$186,$B12,Jumat!$A$7:$A$186,"&gt;="&amp;DATE(2026,11,2),Jumat!$A$7:$A$186,"&lt;="&amp;DATE(2026,11,8))</f>
        <v>0</v>
      </c>
      <c r="U12" s="45">
        <f>SUMIFS(Senin!$H$7:$H$146,Senin!$C$7:$C$146,$B12,Senin!$A$7:$A$146,"&gt;="&amp;DATE(2026,11,9),Senin!$A$7:$A$146,"&lt;="&amp;DATE(2026,11,15))+SUMIFS(Selasa!$H$7:$H$166,Selasa!$C$7:$C$166,$B12,Selasa!$A$7:$A$166,"&gt;="&amp;DATE(2026,11,9),Selasa!$A$7:$A$166,"&lt;="&amp;DATE(2026,11,15))+SUMIFS(Rabu!$H$7:$H$206,Rabu!$C$7:$C$206,$B12,Rabu!$A$7:$A$206,"&gt;="&amp;DATE(2026,11,9),Rabu!$A$7:$A$206,"&lt;="&amp;DATE(2026,11,15))+SUMIFS(Kamis!$H$7:$H$186,Kamis!$C$7:$C$186,$B12,Kamis!$A$7:$A$186,"&gt;="&amp;DATE(2026,11,9),Kamis!$A$7:$A$186,"&lt;="&amp;DATE(2026,11,15))+SUMIFS(Jumat!$H$7:$H$186,Jumat!$C$7:$C$186,$B12,Jumat!$A$7:$A$186,"&gt;="&amp;DATE(2026,11,9),Jumat!$A$7:$A$186,"&lt;="&amp;DATE(2026,11,15))</f>
        <v>0</v>
      </c>
      <c r="V12" s="45">
        <f>SUMIFS(Senin!$H$7:$H$146,Senin!$C$7:$C$146,$B12,Senin!$A$7:$A$146,"&gt;="&amp;DATE(2026,11,16),Senin!$A$7:$A$146,"&lt;="&amp;DATE(2026,11,22))+SUMIFS(Selasa!$H$7:$H$166,Selasa!$C$7:$C$166,$B12,Selasa!$A$7:$A$166,"&gt;="&amp;DATE(2026,11,16),Selasa!$A$7:$A$166,"&lt;="&amp;DATE(2026,11,22))+SUMIFS(Rabu!$H$7:$H$206,Rabu!$C$7:$C$206,$B12,Rabu!$A$7:$A$206,"&gt;="&amp;DATE(2026,11,16),Rabu!$A$7:$A$206,"&lt;="&amp;DATE(2026,11,22))+SUMIFS(Kamis!$H$7:$H$186,Kamis!$C$7:$C$186,$B12,Kamis!$A$7:$A$186,"&gt;="&amp;DATE(2026,11,16),Kamis!$A$7:$A$186,"&lt;="&amp;DATE(2026,11,22))+SUMIFS(Jumat!$H$7:$H$186,Jumat!$C$7:$C$186,$B12,Jumat!$A$7:$A$186,"&gt;="&amp;DATE(2026,11,16),Jumat!$A$7:$A$186,"&lt;="&amp;DATE(2026,11,22))</f>
        <v>0</v>
      </c>
      <c r="W12" s="45">
        <f>SUMIFS(Senin!$H$7:$H$146,Senin!$C$7:$C$146,$B12,Senin!$A$7:$A$146,"&gt;="&amp;DATE(2026,11,23),Senin!$A$7:$A$146,"&lt;="&amp;DATE(2026,11,29))+SUMIFS(Selasa!$H$7:$H$166,Selasa!$C$7:$C$166,$B12,Selasa!$A$7:$A$166,"&gt;="&amp;DATE(2026,11,23),Selasa!$A$7:$A$166,"&lt;="&amp;DATE(2026,11,29))+SUMIFS(Rabu!$H$7:$H$206,Rabu!$C$7:$C$206,$B12,Rabu!$A$7:$A$206,"&gt;="&amp;DATE(2026,11,23),Rabu!$A$7:$A$206,"&lt;="&amp;DATE(2026,11,29))+SUMIFS(Kamis!$H$7:$H$186,Kamis!$C$7:$C$186,$B12,Kamis!$A$7:$A$186,"&gt;="&amp;DATE(2026,11,23),Kamis!$A$7:$A$186,"&lt;="&amp;DATE(2026,11,29))+SUMIFS(Jumat!$H$7:$H$186,Jumat!$C$7:$C$186,$B12,Jumat!$A$7:$A$186,"&gt;="&amp;DATE(2026,11,23),Jumat!$A$7:$A$186,"&lt;="&amp;DATE(2026,11,29))</f>
        <v>0</v>
      </c>
      <c r="X12" s="45">
        <f>SUMIFS(Senin!$H$7:$H$146,Senin!$C$7:$C$146,$B12,Senin!$A$7:$A$146,"&gt;="&amp;DATE(2026,11,30),Senin!$A$7:$A$146,"&lt;="&amp;DATE(2026,12,6))+SUMIFS(Selasa!$H$7:$H$166,Selasa!$C$7:$C$166,$B12,Selasa!$A$7:$A$166,"&gt;="&amp;DATE(2026,11,30),Selasa!$A$7:$A$166,"&lt;="&amp;DATE(2026,12,6))+SUMIFS(Rabu!$H$7:$H$206,Rabu!$C$7:$C$206,$B12,Rabu!$A$7:$A$206,"&gt;="&amp;DATE(2026,11,30),Rabu!$A$7:$A$206,"&lt;="&amp;DATE(2026,12,6))+SUMIFS(Kamis!$H$7:$H$186,Kamis!$C$7:$C$186,$B12,Kamis!$A$7:$A$186,"&gt;="&amp;DATE(2026,11,30),Kamis!$A$7:$A$186,"&lt;="&amp;DATE(2026,12,6))+SUMIFS(Jumat!$H$7:$H$186,Jumat!$C$7:$C$186,$B12,Jumat!$A$7:$A$186,"&gt;="&amp;DATE(2026,11,30),Jumat!$A$7:$A$186,"&lt;="&amp;DATE(2026,12,6))</f>
        <v>0</v>
      </c>
      <c r="Y12" s="45">
        <f>SUMIFS(Senin!$H$7:$H$146,Senin!$C$7:$C$146,$B12,Senin!$A$7:$A$146,"&gt;="&amp;DATE(2026,12,7),Senin!$A$7:$A$146,"&lt;="&amp;DATE(2026,12,13))+SUMIFS(Selasa!$H$7:$H$166,Selasa!$C$7:$C$166,$B12,Selasa!$A$7:$A$166,"&gt;="&amp;DATE(2026,12,7),Selasa!$A$7:$A$166,"&lt;="&amp;DATE(2026,12,13))+SUMIFS(Rabu!$H$7:$H$206,Rabu!$C$7:$C$206,$B12,Rabu!$A$7:$A$206,"&gt;="&amp;DATE(2026,12,7),Rabu!$A$7:$A$206,"&lt;="&amp;DATE(2026,12,13))+SUMIFS(Kamis!$H$7:$H$186,Kamis!$C$7:$C$186,$B12,Kamis!$A$7:$A$186,"&gt;="&amp;DATE(2026,12,7),Kamis!$A$7:$A$186,"&lt;="&amp;DATE(2026,12,13))+SUMIFS(Jumat!$H$7:$H$186,Jumat!$C$7:$C$186,$B12,Jumat!$A$7:$A$186,"&gt;="&amp;DATE(2026,12,7),Jumat!$A$7:$A$186,"&lt;="&amp;DATE(2026,12,13))</f>
        <v>0</v>
      </c>
      <c r="Z12" s="45">
        <f>SUMIFS(Senin!$H$7:$H$146,Senin!$C$7:$C$146,$B12,Senin!$A$7:$A$146,"&gt;="&amp;DATE(2026,12,14),Senin!$A$7:$A$146,"&lt;="&amp;DATE(2026,12,20))+SUMIFS(Selasa!$H$7:$H$166,Selasa!$C$7:$C$166,$B12,Selasa!$A$7:$A$166,"&gt;="&amp;DATE(2026,12,14),Selasa!$A$7:$A$166,"&lt;="&amp;DATE(2026,12,20))+SUMIFS(Rabu!$H$7:$H$206,Rabu!$C$7:$C$206,$B12,Rabu!$A$7:$A$206,"&gt;="&amp;DATE(2026,12,14),Rabu!$A$7:$A$206,"&lt;="&amp;DATE(2026,12,20))+SUMIFS(Kamis!$H$7:$H$186,Kamis!$C$7:$C$186,$B12,Kamis!$A$7:$A$186,"&gt;="&amp;DATE(2026,12,14),Kamis!$A$7:$A$186,"&lt;="&amp;DATE(2026,12,20))+SUMIFS(Jumat!$H$7:$H$186,Jumat!$C$7:$C$186,$B12,Jumat!$A$7:$A$186,"&gt;="&amp;DATE(2026,12,14),Jumat!$A$7:$A$186,"&lt;="&amp;DATE(2026,12,20))</f>
        <v>0</v>
      </c>
      <c r="AA12" s="45">
        <f>SUMIFS(Senin!$H$7:$H$146,Senin!$C$7:$C$146,$B12,Senin!$A$7:$A$146,"&gt;="&amp;DATE(2026,12,21),Senin!$A$7:$A$146,"&lt;="&amp;DATE(2026,12,27))+SUMIFS(Selasa!$H$7:$H$166,Selasa!$C$7:$C$166,$B12,Selasa!$A$7:$A$166,"&gt;="&amp;DATE(2026,12,21),Selasa!$A$7:$A$166,"&lt;="&amp;DATE(2026,12,27))+SUMIFS(Rabu!$H$7:$H$206,Rabu!$C$7:$C$206,$B12,Rabu!$A$7:$A$206,"&gt;="&amp;DATE(2026,12,21),Rabu!$A$7:$A$206,"&lt;="&amp;DATE(2026,12,27))+SUMIFS(Kamis!$H$7:$H$186,Kamis!$C$7:$C$186,$B12,Kamis!$A$7:$A$186,"&gt;="&amp;DATE(2026,12,21),Kamis!$A$7:$A$186,"&lt;="&amp;DATE(2026,12,27))+SUMIFS(Jumat!$H$7:$H$186,Jumat!$C$7:$C$186,$B12,Jumat!$A$7:$A$186,"&gt;="&amp;DATE(2026,12,21),Jumat!$A$7:$A$186,"&lt;="&amp;DATE(2026,12,27))</f>
        <v>0</v>
      </c>
      <c r="AB12" s="45">
        <f>SUMIFS(Senin!$H$7:$H$146,Senin!$C$7:$C$146,$B12,Senin!$A$7:$A$146,"&gt;="&amp;DATE(2026,12,28),Senin!$A$7:$A$146,"&lt;="&amp;DATE(2027,1,3))+SUMIFS(Selasa!$H$7:$H$166,Selasa!$C$7:$C$166,$B12,Selasa!$A$7:$A$166,"&gt;="&amp;DATE(2026,12,28),Selasa!$A$7:$A$166,"&lt;="&amp;DATE(2027,1,3))+SUMIFS(Rabu!$H$7:$H$206,Rabu!$C$7:$C$206,$B12,Rabu!$A$7:$A$206,"&gt;="&amp;DATE(2026,12,28),Rabu!$A$7:$A$206,"&lt;="&amp;DATE(2027,1,3))+SUMIFS(Kamis!$H$7:$H$186,Kamis!$C$7:$C$186,$B12,Kamis!$A$7:$A$186,"&gt;="&amp;DATE(2026,12,28),Kamis!$A$7:$A$186,"&lt;="&amp;DATE(2027,1,3))+SUMIFS(Jumat!$H$7:$H$186,Jumat!$C$7:$C$186,$B12,Jumat!$A$7:$A$186,"&gt;="&amp;DATE(2026,12,28),Jumat!$A$7:$A$186,"&lt;="&amp;DATE(2027,1,3))</f>
        <v>0</v>
      </c>
      <c r="AC12" s="45">
        <f>SUMIFS(Senin!$H$7:$H$146,Senin!$C$7:$C$146,$B12,Senin!$A$7:$A$146,"&gt;="&amp;DATE(2027,1,4),Senin!$A$7:$A$146,"&lt;="&amp;DATE(2027,1,10))+SUMIFS(Selasa!$H$7:$H$166,Selasa!$C$7:$C$166,$B12,Selasa!$A$7:$A$166,"&gt;="&amp;DATE(2027,1,4),Selasa!$A$7:$A$166,"&lt;="&amp;DATE(2027,1,10))+SUMIFS(Rabu!$H$7:$H$206,Rabu!$C$7:$C$206,$B12,Rabu!$A$7:$A$206,"&gt;="&amp;DATE(2027,1,4),Rabu!$A$7:$A$206,"&lt;="&amp;DATE(2027,1,10))+SUMIFS(Kamis!$H$7:$H$186,Kamis!$C$7:$C$186,$B12,Kamis!$A$7:$A$186,"&gt;="&amp;DATE(2027,1,4),Kamis!$A$7:$A$186,"&lt;="&amp;DATE(2027,1,10))+SUMIFS(Jumat!$H$7:$H$186,Jumat!$C$7:$C$186,$B12,Jumat!$A$7:$A$186,"&gt;="&amp;DATE(2027,1,4),Jumat!$A$7:$A$186,"&lt;="&amp;DATE(2027,1,10))</f>
        <v>0</v>
      </c>
      <c r="AD12" s="45">
        <f>SUMIFS(Senin!$H$7:$H$146,Senin!$C$7:$C$146,$B12,Senin!$A$7:$A$146,"&gt;="&amp;DATE(2027,1,11),Senin!$A$7:$A$146,"&lt;="&amp;DATE(2027,1,17))+SUMIFS(Selasa!$H$7:$H$166,Selasa!$C$7:$C$166,$B12,Selasa!$A$7:$A$166,"&gt;="&amp;DATE(2027,1,11),Selasa!$A$7:$A$166,"&lt;="&amp;DATE(2027,1,17))+SUMIFS(Rabu!$H$7:$H$206,Rabu!$C$7:$C$206,$B12,Rabu!$A$7:$A$206,"&gt;="&amp;DATE(2027,1,11),Rabu!$A$7:$A$206,"&lt;="&amp;DATE(2027,1,17))+SUMIFS(Kamis!$H$7:$H$186,Kamis!$C$7:$C$186,$B12,Kamis!$A$7:$A$186,"&gt;="&amp;DATE(2027,1,11),Kamis!$A$7:$A$186,"&lt;="&amp;DATE(2027,1,17))+SUMIFS(Jumat!$H$7:$H$186,Jumat!$C$7:$C$186,$B12,Jumat!$A$7:$A$186,"&gt;="&amp;DATE(2027,1,11),Jumat!$A$7:$A$186,"&lt;="&amp;DATE(2027,1,17))</f>
        <v>0</v>
      </c>
    </row>
    <row r="13" ht="14.25" customHeight="1">
      <c r="A13" s="27">
        <v>10.0</v>
      </c>
      <c r="B13" s="61" t="s">
        <v>34</v>
      </c>
      <c r="C13" s="41">
        <f>COUNTIFS(Senin!$C$7:$C$146,$B13,Senin!$G$7:$G$146,"Ya",Senin!$E$7:$E$146,"&lt;&gt;")+COUNTIFS(Selasa!$C$7:$C$166,$B13,Selasa!$G$7:$G$166,"Ya",Selasa!$E$7:$E$166,"&lt;&gt;")+COUNTIFS(Rabu!$C$7:$C$206,$B13,Rabu!$G$7:$G$206,"Ya",Rabu!$E$7:$E$206,"&lt;&gt;")+COUNTIFS(Kamis!$C$7:$C$186,$B13,Kamis!$G$7:$G$186,"Ya",Kamis!$E$7:$E$186,"&lt;&gt;")+COUNTIFS(Jumat!$C$7:$C$186,$B13,Jumat!$G$7:$G$186,"Ya",Jumat!$E$7:$E$186,"&lt;&gt;")</f>
        <v>0</v>
      </c>
      <c r="D13" s="41">
        <f>COUNTIFS(Senin!$C$7:$C$146,$B13,Senin!$G$7:$G$146,"Ya",Senin!$E$7:$E$146,"")+COUNTIFS(Selasa!$C$7:$C$166,$B13,Selasa!$G$7:$G$166,"Ya",Selasa!$E$7:$E$166,"")+COUNTIFS(Rabu!$C$7:$C$206,$B13,Rabu!$G$7:$G$206,"Ya",Rabu!$E$7:$E$206,"")+COUNTIFS(Kamis!$C$7:$C$186,$B13,Kamis!$G$7:$G$186,"Ya",Kamis!$E$7:$E$186,"")+COUNTIFS(Jumat!$C$7:$C$186,$B13,Jumat!$G$7:$G$186,"Ya",Jumat!$E$7:$E$186,"")</f>
        <v>0</v>
      </c>
      <c r="E13" s="45">
        <f>SUMIFS(Senin!$H$7:$H$146,Senin!$C$7:$C$146,$B13,Senin!$A$7:$A$146,"&gt;="&amp;DATE(2026,8,1),Senin!$A$7:$A$146,"&lt;="&amp;DATE(2026,12,31))+SUMIFS(Selasa!$H$7:$H$166,Selasa!$C$7:$C$166,$B13,Selasa!$A$7:$A$166,"&gt;="&amp;DATE(2026,8,1),Selasa!$A$7:$A$166,"&lt;="&amp;DATE(2026,12,31))+SUMIFS(Rabu!$H$7:$H$206,Rabu!$C$7:$C$206,$B13,Rabu!$A$7:$A$206,"&gt;="&amp;DATE(2026,8,1),Rabu!$A$7:$A$206,"&lt;="&amp;DATE(2026,12,31))+SUMIFS(Kamis!$H$7:$H$186,Kamis!$C$7:$C$186,$B13,Kamis!$A$7:$A$186,"&gt;="&amp;DATE(2026,8,1),Kamis!$A$7:$A$186,"&lt;="&amp;DATE(2026,12,31))+SUMIFS(Jumat!$H$7:$H$186,Jumat!$C$7:$C$186,$B13,Jumat!$A$7:$A$186,"&gt;="&amp;DATE(2026,8,1),Jumat!$A$7:$A$186,"&lt;="&amp;DATE(2026,12,31))</f>
        <v>0</v>
      </c>
      <c r="F13" s="45">
        <f>SUMIFS(Senin!$H$7:$H$146,Senin!$C$7:$C$146,$B13,Senin!$A$7:$A$146,"&gt;="&amp;DATE(2026,8,1),Senin!$A$7:$A$146,"&lt;="&amp;DATE(2026,8,31))+SUMIFS(Selasa!$H$7:$H$166,Selasa!$C$7:$C$166,$B13,Selasa!$A$7:$A$166,"&gt;="&amp;DATE(2026,8,1),Selasa!$A$7:$A$166,"&lt;="&amp;DATE(2026,8,31))+SUMIFS(Rabu!$H$7:$H$206,Rabu!$C$7:$C$206,$B13,Rabu!$A$7:$A$206,"&gt;="&amp;DATE(2026,8,1),Rabu!$A$7:$A$206,"&lt;="&amp;DATE(2026,8,31))+SUMIFS(Kamis!$H$7:$H$186,Kamis!$C$7:$C$186,$B13,Kamis!$A$7:$A$186,"&gt;="&amp;DATE(2026,8,1),Kamis!$A$7:$A$186,"&lt;="&amp;DATE(2026,8,31))+SUMIFS(Jumat!$H$7:$H$186,Jumat!$C$7:$C$186,$B13,Jumat!$A$7:$A$186,"&gt;="&amp;DATE(2026,8,1),Jumat!$A$7:$A$186,"&lt;="&amp;DATE(2026,8,31))</f>
        <v>0</v>
      </c>
      <c r="G13" s="45">
        <f>SUMIFS(Senin!$H$7:$H$146,Senin!$C$7:$C$146,$B13,Senin!$A$7:$A$146,"&gt;="&amp;DATE(2026,9,1),Senin!$A$7:$A$146,"&lt;="&amp;DATE(2026,9,30))+SUMIFS(Selasa!$H$7:$H$166,Selasa!$C$7:$C$166,$B13,Selasa!$A$7:$A$166,"&gt;="&amp;DATE(2026,9,1),Selasa!$A$7:$A$166,"&lt;="&amp;DATE(2026,9,30))+SUMIFS(Rabu!$H$7:$H$206,Rabu!$C$7:$C$206,$B13,Rabu!$A$7:$A$206,"&gt;="&amp;DATE(2026,9,1),Rabu!$A$7:$A$206,"&lt;="&amp;DATE(2026,9,30))+SUMIFS(Kamis!$H$7:$H$186,Kamis!$C$7:$C$186,$B13,Kamis!$A$7:$A$186,"&gt;="&amp;DATE(2026,9,1),Kamis!$A$7:$A$186,"&lt;="&amp;DATE(2026,9,30))+SUMIFS(Jumat!$H$7:$H$186,Jumat!$C$7:$C$186,$B13,Jumat!$A$7:$A$186,"&gt;="&amp;DATE(2026,9,1),Jumat!$A$7:$A$186,"&lt;="&amp;DATE(2026,9,30))</f>
        <v>0</v>
      </c>
      <c r="H13" s="45">
        <f>SUMIFS(Senin!$H$7:$H$146,Senin!$C$7:$C$146,$B13,Senin!$A$7:$A$146,"&gt;="&amp;DATE(2026,10,1),Senin!$A$7:$A$146,"&lt;="&amp;DATE(2026,10,31))+SUMIFS(Selasa!$H$7:$H$166,Selasa!$C$7:$C$166,$B13,Selasa!$A$7:$A$166,"&gt;="&amp;DATE(2026,10,1),Selasa!$A$7:$A$166,"&lt;="&amp;DATE(2026,10,31))+SUMIFS(Rabu!$H$7:$H$206,Rabu!$C$7:$C$206,$B13,Rabu!$A$7:$A$206,"&gt;="&amp;DATE(2026,10,1),Rabu!$A$7:$A$206,"&lt;="&amp;DATE(2026,10,31))+SUMIFS(Kamis!$H$7:$H$186,Kamis!$C$7:$C$186,$B13,Kamis!$A$7:$A$186,"&gt;="&amp;DATE(2026,10,1),Kamis!$A$7:$A$186,"&lt;="&amp;DATE(2026,10,31))+SUMIFS(Jumat!$H$7:$H$186,Jumat!$C$7:$C$186,$B13,Jumat!$A$7:$A$186,"&gt;="&amp;DATE(2026,10,1),Jumat!$A$7:$A$186,"&lt;="&amp;DATE(2026,10,31))</f>
        <v>0</v>
      </c>
      <c r="I13" s="45">
        <f>SUMIFS(Senin!$H$7:$H$146,Senin!$C$7:$C$146,$B13,Senin!$A$7:$A$146,"&gt;="&amp;DATE(2026,11,1),Senin!$A$7:$A$146,"&lt;="&amp;DATE(2026,11,30))+SUMIFS(Selasa!$H$7:$H$166,Selasa!$C$7:$C$166,$B13,Selasa!$A$7:$A$166,"&gt;="&amp;DATE(2026,11,1),Selasa!$A$7:$A$166,"&lt;="&amp;DATE(2026,11,30))+SUMIFS(Rabu!$H$7:$H$206,Rabu!$C$7:$C$206,$B13,Rabu!$A$7:$A$206,"&gt;="&amp;DATE(2026,11,1),Rabu!$A$7:$A$206,"&lt;="&amp;DATE(2026,11,30))+SUMIFS(Kamis!$H$7:$H$186,Kamis!$C$7:$C$186,$B13,Kamis!$A$7:$A$186,"&gt;="&amp;DATE(2026,11,1),Kamis!$A$7:$A$186,"&lt;="&amp;DATE(2026,11,30))+SUMIFS(Jumat!$H$7:$H$186,Jumat!$C$7:$C$186,$B13,Jumat!$A$7:$A$186,"&gt;="&amp;DATE(2026,11,1),Jumat!$A$7:$A$186,"&lt;="&amp;DATE(2026,11,30))</f>
        <v>0</v>
      </c>
      <c r="J13" s="45">
        <f>SUMIFS(Senin!$H$7:$H$146,Senin!$C$7:$C$146,$B13,Senin!$A$7:$A$146,"&gt;="&amp;DATE(2026,12,1),Senin!$A$7:$A$146,"&lt;="&amp;DATE(2026,12,31))+SUMIFS(Selasa!$H$7:$H$166,Selasa!$C$7:$C$166,$B13,Selasa!$A$7:$A$166,"&gt;="&amp;DATE(2026,12,1),Selasa!$A$7:$A$166,"&lt;="&amp;DATE(2026,12,31))+SUMIFS(Rabu!$H$7:$H$206,Rabu!$C$7:$C$206,$B13,Rabu!$A$7:$A$206,"&gt;="&amp;DATE(2026,12,1),Rabu!$A$7:$A$206,"&lt;="&amp;DATE(2026,12,31))+SUMIFS(Kamis!$H$7:$H$186,Kamis!$C$7:$C$186,$B13,Kamis!$A$7:$A$186,"&gt;="&amp;DATE(2026,12,1),Kamis!$A$7:$A$186,"&lt;="&amp;DATE(2026,12,31))+SUMIFS(Jumat!$H$7:$H$186,Jumat!$C$7:$C$186,$B13,Jumat!$A$7:$A$186,"&gt;="&amp;DATE(2026,12,1),Jumat!$A$7:$A$186,"&lt;="&amp;DATE(2026,12,31))</f>
        <v>0</v>
      </c>
      <c r="K13" s="45">
        <f>SUMIFS(Senin!$H$7:$H$146,Senin!$C$7:$C$146,$B13,Senin!$A$7:$A$146,"&gt;="&amp;DATE(2026,8,31),Senin!$A$7:$A$146,"&lt;="&amp;DATE(2026,9,6))+SUMIFS(Selasa!$H$7:$H$166,Selasa!$C$7:$C$166,$B13,Selasa!$A$7:$A$166,"&gt;="&amp;DATE(2026,8,31),Selasa!$A$7:$A$166,"&lt;="&amp;DATE(2026,9,6))+SUMIFS(Rabu!$H$7:$H$206,Rabu!$C$7:$C$206,$B13,Rabu!$A$7:$A$206,"&gt;="&amp;DATE(2026,8,31),Rabu!$A$7:$A$206,"&lt;="&amp;DATE(2026,9,6))+SUMIFS(Kamis!$H$7:$H$186,Kamis!$C$7:$C$186,$B13,Kamis!$A$7:$A$186,"&gt;="&amp;DATE(2026,8,31),Kamis!$A$7:$A$186,"&lt;="&amp;DATE(2026,9,6))+SUMIFS(Jumat!$H$7:$H$186,Jumat!$C$7:$C$186,$B13,Jumat!$A$7:$A$186,"&gt;="&amp;DATE(2026,8,31),Jumat!$A$7:$A$186,"&lt;="&amp;DATE(2026,9,6))</f>
        <v>0</v>
      </c>
      <c r="L13" s="45">
        <f>SUMIFS(Senin!$H$7:$H$146,Senin!$C$7:$C$146,$B13,Senin!$A$7:$A$146,"&gt;="&amp;DATE(2026,9,7),Senin!$A$7:$A$146,"&lt;="&amp;DATE(2026,9,13))+SUMIFS(Selasa!$H$7:$H$166,Selasa!$C$7:$C$166,$B13,Selasa!$A$7:$A$166,"&gt;="&amp;DATE(2026,9,7),Selasa!$A$7:$A$166,"&lt;="&amp;DATE(2026,9,13))+SUMIFS(Rabu!$H$7:$H$206,Rabu!$C$7:$C$206,$B13,Rabu!$A$7:$A$206,"&gt;="&amp;DATE(2026,9,7),Rabu!$A$7:$A$206,"&lt;="&amp;DATE(2026,9,13))+SUMIFS(Kamis!$H$7:$H$186,Kamis!$C$7:$C$186,$B13,Kamis!$A$7:$A$186,"&gt;="&amp;DATE(2026,9,7),Kamis!$A$7:$A$186,"&lt;="&amp;DATE(2026,9,13))+SUMIFS(Jumat!$H$7:$H$186,Jumat!$C$7:$C$186,$B13,Jumat!$A$7:$A$186,"&gt;="&amp;DATE(2026,9,7),Jumat!$A$7:$A$186,"&lt;="&amp;DATE(2026,9,13))</f>
        <v>0</v>
      </c>
      <c r="M13" s="45">
        <f>SUMIFS(Senin!$H$7:$H$146,Senin!$C$7:$C$146,$B13,Senin!$A$7:$A$146,"&gt;="&amp;DATE(2026,9,14),Senin!$A$7:$A$146,"&lt;="&amp;DATE(2026,9,20))+SUMIFS(Selasa!$H$7:$H$166,Selasa!$C$7:$C$166,$B13,Selasa!$A$7:$A$166,"&gt;="&amp;DATE(2026,9,14),Selasa!$A$7:$A$166,"&lt;="&amp;DATE(2026,9,20))+SUMIFS(Rabu!$H$7:$H$206,Rabu!$C$7:$C$206,$B13,Rabu!$A$7:$A$206,"&gt;="&amp;DATE(2026,9,14),Rabu!$A$7:$A$206,"&lt;="&amp;DATE(2026,9,20))+SUMIFS(Kamis!$H$7:$H$186,Kamis!$C$7:$C$186,$B13,Kamis!$A$7:$A$186,"&gt;="&amp;DATE(2026,9,14),Kamis!$A$7:$A$186,"&lt;="&amp;DATE(2026,9,20))+SUMIFS(Jumat!$H$7:$H$186,Jumat!$C$7:$C$186,$B13,Jumat!$A$7:$A$186,"&gt;="&amp;DATE(2026,9,14),Jumat!$A$7:$A$186,"&lt;="&amp;DATE(2026,9,20))</f>
        <v>0</v>
      </c>
      <c r="N13" s="45">
        <f>SUMIFS(Senin!$H$7:$H$146,Senin!$C$7:$C$146,$B13,Senin!$A$7:$A$146,"&gt;="&amp;DATE(2026,9,21),Senin!$A$7:$A$146,"&lt;="&amp;DATE(2026,9,27))+SUMIFS(Selasa!$H$7:$H$166,Selasa!$C$7:$C$166,$B13,Selasa!$A$7:$A$166,"&gt;="&amp;DATE(2026,9,21),Selasa!$A$7:$A$166,"&lt;="&amp;DATE(2026,9,27))+SUMIFS(Rabu!$H$7:$H$206,Rabu!$C$7:$C$206,$B13,Rabu!$A$7:$A$206,"&gt;="&amp;DATE(2026,9,21),Rabu!$A$7:$A$206,"&lt;="&amp;DATE(2026,9,27))+SUMIFS(Kamis!$H$7:$H$186,Kamis!$C$7:$C$186,$B13,Kamis!$A$7:$A$186,"&gt;="&amp;DATE(2026,9,21),Kamis!$A$7:$A$186,"&lt;="&amp;DATE(2026,9,27))+SUMIFS(Jumat!$H$7:$H$186,Jumat!$C$7:$C$186,$B13,Jumat!$A$7:$A$186,"&gt;="&amp;DATE(2026,9,21),Jumat!$A$7:$A$186,"&lt;="&amp;DATE(2026,9,27))</f>
        <v>0</v>
      </c>
      <c r="O13" s="45">
        <f>SUMIFS(Senin!$H$7:$H$146,Senin!$C$7:$C$146,$B13,Senin!$A$7:$A$146,"&gt;="&amp;DATE(2026,9,28),Senin!$A$7:$A$146,"&lt;="&amp;DATE(2026,10,4))+SUMIFS(Selasa!$H$7:$H$166,Selasa!$C$7:$C$166,$B13,Selasa!$A$7:$A$166,"&gt;="&amp;DATE(2026,9,28),Selasa!$A$7:$A$166,"&lt;="&amp;DATE(2026,10,4))+SUMIFS(Rabu!$H$7:$H$206,Rabu!$C$7:$C$206,$B13,Rabu!$A$7:$A$206,"&gt;="&amp;DATE(2026,9,28),Rabu!$A$7:$A$206,"&lt;="&amp;DATE(2026,10,4))+SUMIFS(Kamis!$H$7:$H$186,Kamis!$C$7:$C$186,$B13,Kamis!$A$7:$A$186,"&gt;="&amp;DATE(2026,9,28),Kamis!$A$7:$A$186,"&lt;="&amp;DATE(2026,10,4))+SUMIFS(Jumat!$H$7:$H$186,Jumat!$C$7:$C$186,$B13,Jumat!$A$7:$A$186,"&gt;="&amp;DATE(2026,9,28),Jumat!$A$7:$A$186,"&lt;="&amp;DATE(2026,10,4))</f>
        <v>0</v>
      </c>
      <c r="P13" s="45">
        <f>SUMIFS(Senin!$H$7:$H$146,Senin!$C$7:$C$146,$B13,Senin!$A$7:$A$146,"&gt;="&amp;DATE(2026,10,5),Senin!$A$7:$A$146,"&lt;="&amp;DATE(2026,10,11))+SUMIFS(Selasa!$H$7:$H$166,Selasa!$C$7:$C$166,$B13,Selasa!$A$7:$A$166,"&gt;="&amp;DATE(2026,10,5),Selasa!$A$7:$A$166,"&lt;="&amp;DATE(2026,10,11))+SUMIFS(Rabu!$H$7:$H$206,Rabu!$C$7:$C$206,$B13,Rabu!$A$7:$A$206,"&gt;="&amp;DATE(2026,10,5),Rabu!$A$7:$A$206,"&lt;="&amp;DATE(2026,10,11))+SUMIFS(Kamis!$H$7:$H$186,Kamis!$C$7:$C$186,$B13,Kamis!$A$7:$A$186,"&gt;="&amp;DATE(2026,10,5),Kamis!$A$7:$A$186,"&lt;="&amp;DATE(2026,10,11))+SUMIFS(Jumat!$H$7:$H$186,Jumat!$C$7:$C$186,$B13,Jumat!$A$7:$A$186,"&gt;="&amp;DATE(2026,10,5),Jumat!$A$7:$A$186,"&lt;="&amp;DATE(2026,10,11))</f>
        <v>0</v>
      </c>
      <c r="Q13" s="45">
        <f>SUMIFS(Senin!$H$7:$H$146,Senin!$C$7:$C$146,$B13,Senin!$A$7:$A$146,"&gt;="&amp;DATE(2026,10,12),Senin!$A$7:$A$146,"&lt;="&amp;DATE(2026,10,18))+SUMIFS(Selasa!$H$7:$H$166,Selasa!$C$7:$C$166,$B13,Selasa!$A$7:$A$166,"&gt;="&amp;DATE(2026,10,12),Selasa!$A$7:$A$166,"&lt;="&amp;DATE(2026,10,18))+SUMIFS(Rabu!$H$7:$H$206,Rabu!$C$7:$C$206,$B13,Rabu!$A$7:$A$206,"&gt;="&amp;DATE(2026,10,12),Rabu!$A$7:$A$206,"&lt;="&amp;DATE(2026,10,18))+SUMIFS(Kamis!$H$7:$H$186,Kamis!$C$7:$C$186,$B13,Kamis!$A$7:$A$186,"&gt;="&amp;DATE(2026,10,12),Kamis!$A$7:$A$186,"&lt;="&amp;DATE(2026,10,18))+SUMIFS(Jumat!$H$7:$H$186,Jumat!$C$7:$C$186,$B13,Jumat!$A$7:$A$186,"&gt;="&amp;DATE(2026,10,12),Jumat!$A$7:$A$186,"&lt;="&amp;DATE(2026,10,18))</f>
        <v>0</v>
      </c>
      <c r="R13" s="45">
        <f>SUMIFS(Senin!$H$7:$H$146,Senin!$C$7:$C$146,$B13,Senin!$A$7:$A$146,"&gt;="&amp;DATE(2026,10,19),Senin!$A$7:$A$146,"&lt;="&amp;DATE(2026,10,25))+SUMIFS(Selasa!$H$7:$H$166,Selasa!$C$7:$C$166,$B13,Selasa!$A$7:$A$166,"&gt;="&amp;DATE(2026,10,19),Selasa!$A$7:$A$166,"&lt;="&amp;DATE(2026,10,25))+SUMIFS(Rabu!$H$7:$H$206,Rabu!$C$7:$C$206,$B13,Rabu!$A$7:$A$206,"&gt;="&amp;DATE(2026,10,19),Rabu!$A$7:$A$206,"&lt;="&amp;DATE(2026,10,25))+SUMIFS(Kamis!$H$7:$H$186,Kamis!$C$7:$C$186,$B13,Kamis!$A$7:$A$186,"&gt;="&amp;DATE(2026,10,19),Kamis!$A$7:$A$186,"&lt;="&amp;DATE(2026,10,25))+SUMIFS(Jumat!$H$7:$H$186,Jumat!$C$7:$C$186,$B13,Jumat!$A$7:$A$186,"&gt;="&amp;DATE(2026,10,19),Jumat!$A$7:$A$186,"&lt;="&amp;DATE(2026,10,25))</f>
        <v>0</v>
      </c>
      <c r="S13" s="45">
        <f>SUMIFS(Senin!$H$7:$H$146,Senin!$C$7:$C$146,$B13,Senin!$A$7:$A$146,"&gt;="&amp;DATE(2026,10,26),Senin!$A$7:$A$146,"&lt;="&amp;DATE(2026,11,1))+SUMIFS(Selasa!$H$7:$H$166,Selasa!$C$7:$C$166,$B13,Selasa!$A$7:$A$166,"&gt;="&amp;DATE(2026,10,26),Selasa!$A$7:$A$166,"&lt;="&amp;DATE(2026,11,1))+SUMIFS(Rabu!$H$7:$H$206,Rabu!$C$7:$C$206,$B13,Rabu!$A$7:$A$206,"&gt;="&amp;DATE(2026,10,26),Rabu!$A$7:$A$206,"&lt;="&amp;DATE(2026,11,1))+SUMIFS(Kamis!$H$7:$H$186,Kamis!$C$7:$C$186,$B13,Kamis!$A$7:$A$186,"&gt;="&amp;DATE(2026,10,26),Kamis!$A$7:$A$186,"&lt;="&amp;DATE(2026,11,1))+SUMIFS(Jumat!$H$7:$H$186,Jumat!$C$7:$C$186,$B13,Jumat!$A$7:$A$186,"&gt;="&amp;DATE(2026,10,26),Jumat!$A$7:$A$186,"&lt;="&amp;DATE(2026,11,1))</f>
        <v>0</v>
      </c>
      <c r="T13" s="45">
        <f>SUMIFS(Senin!$H$7:$H$146,Senin!$C$7:$C$146,$B13,Senin!$A$7:$A$146,"&gt;="&amp;DATE(2026,11,2),Senin!$A$7:$A$146,"&lt;="&amp;DATE(2026,11,8))+SUMIFS(Selasa!$H$7:$H$166,Selasa!$C$7:$C$166,$B13,Selasa!$A$7:$A$166,"&gt;="&amp;DATE(2026,11,2),Selasa!$A$7:$A$166,"&lt;="&amp;DATE(2026,11,8))+SUMIFS(Rabu!$H$7:$H$206,Rabu!$C$7:$C$206,$B13,Rabu!$A$7:$A$206,"&gt;="&amp;DATE(2026,11,2),Rabu!$A$7:$A$206,"&lt;="&amp;DATE(2026,11,8))+SUMIFS(Kamis!$H$7:$H$186,Kamis!$C$7:$C$186,$B13,Kamis!$A$7:$A$186,"&gt;="&amp;DATE(2026,11,2),Kamis!$A$7:$A$186,"&lt;="&amp;DATE(2026,11,8))+SUMIFS(Jumat!$H$7:$H$186,Jumat!$C$7:$C$186,$B13,Jumat!$A$7:$A$186,"&gt;="&amp;DATE(2026,11,2),Jumat!$A$7:$A$186,"&lt;="&amp;DATE(2026,11,8))</f>
        <v>0</v>
      </c>
      <c r="U13" s="45">
        <f>SUMIFS(Senin!$H$7:$H$146,Senin!$C$7:$C$146,$B13,Senin!$A$7:$A$146,"&gt;="&amp;DATE(2026,11,9),Senin!$A$7:$A$146,"&lt;="&amp;DATE(2026,11,15))+SUMIFS(Selasa!$H$7:$H$166,Selasa!$C$7:$C$166,$B13,Selasa!$A$7:$A$166,"&gt;="&amp;DATE(2026,11,9),Selasa!$A$7:$A$166,"&lt;="&amp;DATE(2026,11,15))+SUMIFS(Rabu!$H$7:$H$206,Rabu!$C$7:$C$206,$B13,Rabu!$A$7:$A$206,"&gt;="&amp;DATE(2026,11,9),Rabu!$A$7:$A$206,"&lt;="&amp;DATE(2026,11,15))+SUMIFS(Kamis!$H$7:$H$186,Kamis!$C$7:$C$186,$B13,Kamis!$A$7:$A$186,"&gt;="&amp;DATE(2026,11,9),Kamis!$A$7:$A$186,"&lt;="&amp;DATE(2026,11,15))+SUMIFS(Jumat!$H$7:$H$186,Jumat!$C$7:$C$186,$B13,Jumat!$A$7:$A$186,"&gt;="&amp;DATE(2026,11,9),Jumat!$A$7:$A$186,"&lt;="&amp;DATE(2026,11,15))</f>
        <v>0</v>
      </c>
      <c r="V13" s="45">
        <f>SUMIFS(Senin!$H$7:$H$146,Senin!$C$7:$C$146,$B13,Senin!$A$7:$A$146,"&gt;="&amp;DATE(2026,11,16),Senin!$A$7:$A$146,"&lt;="&amp;DATE(2026,11,22))+SUMIFS(Selasa!$H$7:$H$166,Selasa!$C$7:$C$166,$B13,Selasa!$A$7:$A$166,"&gt;="&amp;DATE(2026,11,16),Selasa!$A$7:$A$166,"&lt;="&amp;DATE(2026,11,22))+SUMIFS(Rabu!$H$7:$H$206,Rabu!$C$7:$C$206,$B13,Rabu!$A$7:$A$206,"&gt;="&amp;DATE(2026,11,16),Rabu!$A$7:$A$206,"&lt;="&amp;DATE(2026,11,22))+SUMIFS(Kamis!$H$7:$H$186,Kamis!$C$7:$C$186,$B13,Kamis!$A$7:$A$186,"&gt;="&amp;DATE(2026,11,16),Kamis!$A$7:$A$186,"&lt;="&amp;DATE(2026,11,22))+SUMIFS(Jumat!$H$7:$H$186,Jumat!$C$7:$C$186,$B13,Jumat!$A$7:$A$186,"&gt;="&amp;DATE(2026,11,16),Jumat!$A$7:$A$186,"&lt;="&amp;DATE(2026,11,22))</f>
        <v>0</v>
      </c>
      <c r="W13" s="45">
        <f>SUMIFS(Senin!$H$7:$H$146,Senin!$C$7:$C$146,$B13,Senin!$A$7:$A$146,"&gt;="&amp;DATE(2026,11,23),Senin!$A$7:$A$146,"&lt;="&amp;DATE(2026,11,29))+SUMIFS(Selasa!$H$7:$H$166,Selasa!$C$7:$C$166,$B13,Selasa!$A$7:$A$166,"&gt;="&amp;DATE(2026,11,23),Selasa!$A$7:$A$166,"&lt;="&amp;DATE(2026,11,29))+SUMIFS(Rabu!$H$7:$H$206,Rabu!$C$7:$C$206,$B13,Rabu!$A$7:$A$206,"&gt;="&amp;DATE(2026,11,23),Rabu!$A$7:$A$206,"&lt;="&amp;DATE(2026,11,29))+SUMIFS(Kamis!$H$7:$H$186,Kamis!$C$7:$C$186,$B13,Kamis!$A$7:$A$186,"&gt;="&amp;DATE(2026,11,23),Kamis!$A$7:$A$186,"&lt;="&amp;DATE(2026,11,29))+SUMIFS(Jumat!$H$7:$H$186,Jumat!$C$7:$C$186,$B13,Jumat!$A$7:$A$186,"&gt;="&amp;DATE(2026,11,23),Jumat!$A$7:$A$186,"&lt;="&amp;DATE(2026,11,29))</f>
        <v>0</v>
      </c>
      <c r="X13" s="45">
        <f>SUMIFS(Senin!$H$7:$H$146,Senin!$C$7:$C$146,$B13,Senin!$A$7:$A$146,"&gt;="&amp;DATE(2026,11,30),Senin!$A$7:$A$146,"&lt;="&amp;DATE(2026,12,6))+SUMIFS(Selasa!$H$7:$H$166,Selasa!$C$7:$C$166,$B13,Selasa!$A$7:$A$166,"&gt;="&amp;DATE(2026,11,30),Selasa!$A$7:$A$166,"&lt;="&amp;DATE(2026,12,6))+SUMIFS(Rabu!$H$7:$H$206,Rabu!$C$7:$C$206,$B13,Rabu!$A$7:$A$206,"&gt;="&amp;DATE(2026,11,30),Rabu!$A$7:$A$206,"&lt;="&amp;DATE(2026,12,6))+SUMIFS(Kamis!$H$7:$H$186,Kamis!$C$7:$C$186,$B13,Kamis!$A$7:$A$186,"&gt;="&amp;DATE(2026,11,30),Kamis!$A$7:$A$186,"&lt;="&amp;DATE(2026,12,6))+SUMIFS(Jumat!$H$7:$H$186,Jumat!$C$7:$C$186,$B13,Jumat!$A$7:$A$186,"&gt;="&amp;DATE(2026,11,30),Jumat!$A$7:$A$186,"&lt;="&amp;DATE(2026,12,6))</f>
        <v>0</v>
      </c>
      <c r="Y13" s="45">
        <f>SUMIFS(Senin!$H$7:$H$146,Senin!$C$7:$C$146,$B13,Senin!$A$7:$A$146,"&gt;="&amp;DATE(2026,12,7),Senin!$A$7:$A$146,"&lt;="&amp;DATE(2026,12,13))+SUMIFS(Selasa!$H$7:$H$166,Selasa!$C$7:$C$166,$B13,Selasa!$A$7:$A$166,"&gt;="&amp;DATE(2026,12,7),Selasa!$A$7:$A$166,"&lt;="&amp;DATE(2026,12,13))+SUMIFS(Rabu!$H$7:$H$206,Rabu!$C$7:$C$206,$B13,Rabu!$A$7:$A$206,"&gt;="&amp;DATE(2026,12,7),Rabu!$A$7:$A$206,"&lt;="&amp;DATE(2026,12,13))+SUMIFS(Kamis!$H$7:$H$186,Kamis!$C$7:$C$186,$B13,Kamis!$A$7:$A$186,"&gt;="&amp;DATE(2026,12,7),Kamis!$A$7:$A$186,"&lt;="&amp;DATE(2026,12,13))+SUMIFS(Jumat!$H$7:$H$186,Jumat!$C$7:$C$186,$B13,Jumat!$A$7:$A$186,"&gt;="&amp;DATE(2026,12,7),Jumat!$A$7:$A$186,"&lt;="&amp;DATE(2026,12,13))</f>
        <v>0</v>
      </c>
      <c r="Z13" s="45">
        <f>SUMIFS(Senin!$H$7:$H$146,Senin!$C$7:$C$146,$B13,Senin!$A$7:$A$146,"&gt;="&amp;DATE(2026,12,14),Senin!$A$7:$A$146,"&lt;="&amp;DATE(2026,12,20))+SUMIFS(Selasa!$H$7:$H$166,Selasa!$C$7:$C$166,$B13,Selasa!$A$7:$A$166,"&gt;="&amp;DATE(2026,12,14),Selasa!$A$7:$A$166,"&lt;="&amp;DATE(2026,12,20))+SUMIFS(Rabu!$H$7:$H$206,Rabu!$C$7:$C$206,$B13,Rabu!$A$7:$A$206,"&gt;="&amp;DATE(2026,12,14),Rabu!$A$7:$A$206,"&lt;="&amp;DATE(2026,12,20))+SUMIFS(Kamis!$H$7:$H$186,Kamis!$C$7:$C$186,$B13,Kamis!$A$7:$A$186,"&gt;="&amp;DATE(2026,12,14),Kamis!$A$7:$A$186,"&lt;="&amp;DATE(2026,12,20))+SUMIFS(Jumat!$H$7:$H$186,Jumat!$C$7:$C$186,$B13,Jumat!$A$7:$A$186,"&gt;="&amp;DATE(2026,12,14),Jumat!$A$7:$A$186,"&lt;="&amp;DATE(2026,12,20))</f>
        <v>0</v>
      </c>
      <c r="AA13" s="45">
        <f>SUMIFS(Senin!$H$7:$H$146,Senin!$C$7:$C$146,$B13,Senin!$A$7:$A$146,"&gt;="&amp;DATE(2026,12,21),Senin!$A$7:$A$146,"&lt;="&amp;DATE(2026,12,27))+SUMIFS(Selasa!$H$7:$H$166,Selasa!$C$7:$C$166,$B13,Selasa!$A$7:$A$166,"&gt;="&amp;DATE(2026,12,21),Selasa!$A$7:$A$166,"&lt;="&amp;DATE(2026,12,27))+SUMIFS(Rabu!$H$7:$H$206,Rabu!$C$7:$C$206,$B13,Rabu!$A$7:$A$206,"&gt;="&amp;DATE(2026,12,21),Rabu!$A$7:$A$206,"&lt;="&amp;DATE(2026,12,27))+SUMIFS(Kamis!$H$7:$H$186,Kamis!$C$7:$C$186,$B13,Kamis!$A$7:$A$186,"&gt;="&amp;DATE(2026,12,21),Kamis!$A$7:$A$186,"&lt;="&amp;DATE(2026,12,27))+SUMIFS(Jumat!$H$7:$H$186,Jumat!$C$7:$C$186,$B13,Jumat!$A$7:$A$186,"&gt;="&amp;DATE(2026,12,21),Jumat!$A$7:$A$186,"&lt;="&amp;DATE(2026,12,27))</f>
        <v>0</v>
      </c>
      <c r="AB13" s="45">
        <f>SUMIFS(Senin!$H$7:$H$146,Senin!$C$7:$C$146,$B13,Senin!$A$7:$A$146,"&gt;="&amp;DATE(2026,12,28),Senin!$A$7:$A$146,"&lt;="&amp;DATE(2027,1,3))+SUMIFS(Selasa!$H$7:$H$166,Selasa!$C$7:$C$166,$B13,Selasa!$A$7:$A$166,"&gt;="&amp;DATE(2026,12,28),Selasa!$A$7:$A$166,"&lt;="&amp;DATE(2027,1,3))+SUMIFS(Rabu!$H$7:$H$206,Rabu!$C$7:$C$206,$B13,Rabu!$A$7:$A$206,"&gt;="&amp;DATE(2026,12,28),Rabu!$A$7:$A$206,"&lt;="&amp;DATE(2027,1,3))+SUMIFS(Kamis!$H$7:$H$186,Kamis!$C$7:$C$186,$B13,Kamis!$A$7:$A$186,"&gt;="&amp;DATE(2026,12,28),Kamis!$A$7:$A$186,"&lt;="&amp;DATE(2027,1,3))+SUMIFS(Jumat!$H$7:$H$186,Jumat!$C$7:$C$186,$B13,Jumat!$A$7:$A$186,"&gt;="&amp;DATE(2026,12,28),Jumat!$A$7:$A$186,"&lt;="&amp;DATE(2027,1,3))</f>
        <v>0</v>
      </c>
      <c r="AC13" s="45">
        <f>SUMIFS(Senin!$H$7:$H$146,Senin!$C$7:$C$146,$B13,Senin!$A$7:$A$146,"&gt;="&amp;DATE(2027,1,4),Senin!$A$7:$A$146,"&lt;="&amp;DATE(2027,1,10))+SUMIFS(Selasa!$H$7:$H$166,Selasa!$C$7:$C$166,$B13,Selasa!$A$7:$A$166,"&gt;="&amp;DATE(2027,1,4),Selasa!$A$7:$A$166,"&lt;="&amp;DATE(2027,1,10))+SUMIFS(Rabu!$H$7:$H$206,Rabu!$C$7:$C$206,$B13,Rabu!$A$7:$A$206,"&gt;="&amp;DATE(2027,1,4),Rabu!$A$7:$A$206,"&lt;="&amp;DATE(2027,1,10))+SUMIFS(Kamis!$H$7:$H$186,Kamis!$C$7:$C$186,$B13,Kamis!$A$7:$A$186,"&gt;="&amp;DATE(2027,1,4),Kamis!$A$7:$A$186,"&lt;="&amp;DATE(2027,1,10))+SUMIFS(Jumat!$H$7:$H$186,Jumat!$C$7:$C$186,$B13,Jumat!$A$7:$A$186,"&gt;="&amp;DATE(2027,1,4),Jumat!$A$7:$A$186,"&lt;="&amp;DATE(2027,1,10))</f>
        <v>0</v>
      </c>
      <c r="AD13" s="45">
        <f>SUMIFS(Senin!$H$7:$H$146,Senin!$C$7:$C$146,$B13,Senin!$A$7:$A$146,"&gt;="&amp;DATE(2027,1,11),Senin!$A$7:$A$146,"&lt;="&amp;DATE(2027,1,17))+SUMIFS(Selasa!$H$7:$H$166,Selasa!$C$7:$C$166,$B13,Selasa!$A$7:$A$166,"&gt;="&amp;DATE(2027,1,11),Selasa!$A$7:$A$166,"&lt;="&amp;DATE(2027,1,17))+SUMIFS(Rabu!$H$7:$H$206,Rabu!$C$7:$C$206,$B13,Rabu!$A$7:$A$206,"&gt;="&amp;DATE(2027,1,11),Rabu!$A$7:$A$206,"&lt;="&amp;DATE(2027,1,17))+SUMIFS(Kamis!$H$7:$H$186,Kamis!$C$7:$C$186,$B13,Kamis!$A$7:$A$186,"&gt;="&amp;DATE(2027,1,11),Kamis!$A$7:$A$186,"&lt;="&amp;DATE(2027,1,17))+SUMIFS(Jumat!$H$7:$H$186,Jumat!$C$7:$C$186,$B13,Jumat!$A$7:$A$186,"&gt;="&amp;DATE(2027,1,11),Jumat!$A$7:$A$186,"&lt;="&amp;DATE(2027,1,17))</f>
        <v>0</v>
      </c>
    </row>
    <row r="14" ht="14.25" customHeight="1">
      <c r="A14" s="27">
        <v>11.0</v>
      </c>
      <c r="B14" s="61" t="s">
        <v>16</v>
      </c>
      <c r="C14" s="41">
        <f>COUNTIFS(Senin!$C$7:$C$146,$B14,Senin!$G$7:$G$146,"Ya",Senin!$E$7:$E$146,"&lt;&gt;")+COUNTIFS(Selasa!$C$7:$C$166,$B14,Selasa!$G$7:$G$166,"Ya",Selasa!$E$7:$E$166,"&lt;&gt;")+COUNTIFS(Rabu!$C$7:$C$206,$B14,Rabu!$G$7:$G$206,"Ya",Rabu!$E$7:$E$206,"&lt;&gt;")+COUNTIFS(Kamis!$C$7:$C$186,$B14,Kamis!$G$7:$G$186,"Ya",Kamis!$E$7:$E$186,"&lt;&gt;")+COUNTIFS(Jumat!$C$7:$C$186,$B14,Jumat!$G$7:$G$186,"Ya",Jumat!$E$7:$E$186,"&lt;&gt;")</f>
        <v>0</v>
      </c>
      <c r="D14" s="41">
        <f>COUNTIFS(Senin!$C$7:$C$146,$B14,Senin!$G$7:$G$146,"Ya",Senin!$E$7:$E$146,"")+COUNTIFS(Selasa!$C$7:$C$166,$B14,Selasa!$G$7:$G$166,"Ya",Selasa!$E$7:$E$166,"")+COUNTIFS(Rabu!$C$7:$C$206,$B14,Rabu!$G$7:$G$206,"Ya",Rabu!$E$7:$E$206,"")+COUNTIFS(Kamis!$C$7:$C$186,$B14,Kamis!$G$7:$G$186,"Ya",Kamis!$E$7:$E$186,"")+COUNTIFS(Jumat!$C$7:$C$186,$B14,Jumat!$G$7:$G$186,"Ya",Jumat!$E$7:$E$186,"")</f>
        <v>0</v>
      </c>
      <c r="E14" s="45">
        <f>SUMIFS(Senin!$H$7:$H$146,Senin!$C$7:$C$146,$B14,Senin!$A$7:$A$146,"&gt;="&amp;DATE(2026,8,1),Senin!$A$7:$A$146,"&lt;="&amp;DATE(2026,12,31))+SUMIFS(Selasa!$H$7:$H$166,Selasa!$C$7:$C$166,$B14,Selasa!$A$7:$A$166,"&gt;="&amp;DATE(2026,8,1),Selasa!$A$7:$A$166,"&lt;="&amp;DATE(2026,12,31))+SUMIFS(Rabu!$H$7:$H$206,Rabu!$C$7:$C$206,$B14,Rabu!$A$7:$A$206,"&gt;="&amp;DATE(2026,8,1),Rabu!$A$7:$A$206,"&lt;="&amp;DATE(2026,12,31))+SUMIFS(Kamis!$H$7:$H$186,Kamis!$C$7:$C$186,$B14,Kamis!$A$7:$A$186,"&gt;="&amp;DATE(2026,8,1),Kamis!$A$7:$A$186,"&lt;="&amp;DATE(2026,12,31))+SUMIFS(Jumat!$H$7:$H$186,Jumat!$C$7:$C$186,$B14,Jumat!$A$7:$A$186,"&gt;="&amp;DATE(2026,8,1),Jumat!$A$7:$A$186,"&lt;="&amp;DATE(2026,12,31))</f>
        <v>0</v>
      </c>
      <c r="F14" s="45">
        <f>SUMIFS(Senin!$H$7:$H$146,Senin!$C$7:$C$146,$B14,Senin!$A$7:$A$146,"&gt;="&amp;DATE(2026,8,1),Senin!$A$7:$A$146,"&lt;="&amp;DATE(2026,8,31))+SUMIFS(Selasa!$H$7:$H$166,Selasa!$C$7:$C$166,$B14,Selasa!$A$7:$A$166,"&gt;="&amp;DATE(2026,8,1),Selasa!$A$7:$A$166,"&lt;="&amp;DATE(2026,8,31))+SUMIFS(Rabu!$H$7:$H$206,Rabu!$C$7:$C$206,$B14,Rabu!$A$7:$A$206,"&gt;="&amp;DATE(2026,8,1),Rabu!$A$7:$A$206,"&lt;="&amp;DATE(2026,8,31))+SUMIFS(Kamis!$H$7:$H$186,Kamis!$C$7:$C$186,$B14,Kamis!$A$7:$A$186,"&gt;="&amp;DATE(2026,8,1),Kamis!$A$7:$A$186,"&lt;="&amp;DATE(2026,8,31))+SUMIFS(Jumat!$H$7:$H$186,Jumat!$C$7:$C$186,$B14,Jumat!$A$7:$A$186,"&gt;="&amp;DATE(2026,8,1),Jumat!$A$7:$A$186,"&lt;="&amp;DATE(2026,8,31))</f>
        <v>0</v>
      </c>
      <c r="G14" s="45">
        <f>SUMIFS(Senin!$H$7:$H$146,Senin!$C$7:$C$146,$B14,Senin!$A$7:$A$146,"&gt;="&amp;DATE(2026,9,1),Senin!$A$7:$A$146,"&lt;="&amp;DATE(2026,9,30))+SUMIFS(Selasa!$H$7:$H$166,Selasa!$C$7:$C$166,$B14,Selasa!$A$7:$A$166,"&gt;="&amp;DATE(2026,9,1),Selasa!$A$7:$A$166,"&lt;="&amp;DATE(2026,9,30))+SUMIFS(Rabu!$H$7:$H$206,Rabu!$C$7:$C$206,$B14,Rabu!$A$7:$A$206,"&gt;="&amp;DATE(2026,9,1),Rabu!$A$7:$A$206,"&lt;="&amp;DATE(2026,9,30))+SUMIFS(Kamis!$H$7:$H$186,Kamis!$C$7:$C$186,$B14,Kamis!$A$7:$A$186,"&gt;="&amp;DATE(2026,9,1),Kamis!$A$7:$A$186,"&lt;="&amp;DATE(2026,9,30))+SUMIFS(Jumat!$H$7:$H$186,Jumat!$C$7:$C$186,$B14,Jumat!$A$7:$A$186,"&gt;="&amp;DATE(2026,9,1),Jumat!$A$7:$A$186,"&lt;="&amp;DATE(2026,9,30))</f>
        <v>0</v>
      </c>
      <c r="H14" s="45">
        <f>SUMIFS(Senin!$H$7:$H$146,Senin!$C$7:$C$146,$B14,Senin!$A$7:$A$146,"&gt;="&amp;DATE(2026,10,1),Senin!$A$7:$A$146,"&lt;="&amp;DATE(2026,10,31))+SUMIFS(Selasa!$H$7:$H$166,Selasa!$C$7:$C$166,$B14,Selasa!$A$7:$A$166,"&gt;="&amp;DATE(2026,10,1),Selasa!$A$7:$A$166,"&lt;="&amp;DATE(2026,10,31))+SUMIFS(Rabu!$H$7:$H$206,Rabu!$C$7:$C$206,$B14,Rabu!$A$7:$A$206,"&gt;="&amp;DATE(2026,10,1),Rabu!$A$7:$A$206,"&lt;="&amp;DATE(2026,10,31))+SUMIFS(Kamis!$H$7:$H$186,Kamis!$C$7:$C$186,$B14,Kamis!$A$7:$A$186,"&gt;="&amp;DATE(2026,10,1),Kamis!$A$7:$A$186,"&lt;="&amp;DATE(2026,10,31))+SUMIFS(Jumat!$H$7:$H$186,Jumat!$C$7:$C$186,$B14,Jumat!$A$7:$A$186,"&gt;="&amp;DATE(2026,10,1),Jumat!$A$7:$A$186,"&lt;="&amp;DATE(2026,10,31))</f>
        <v>0</v>
      </c>
      <c r="I14" s="45">
        <f>SUMIFS(Senin!$H$7:$H$146,Senin!$C$7:$C$146,$B14,Senin!$A$7:$A$146,"&gt;="&amp;DATE(2026,11,1),Senin!$A$7:$A$146,"&lt;="&amp;DATE(2026,11,30))+SUMIFS(Selasa!$H$7:$H$166,Selasa!$C$7:$C$166,$B14,Selasa!$A$7:$A$166,"&gt;="&amp;DATE(2026,11,1),Selasa!$A$7:$A$166,"&lt;="&amp;DATE(2026,11,30))+SUMIFS(Rabu!$H$7:$H$206,Rabu!$C$7:$C$206,$B14,Rabu!$A$7:$A$206,"&gt;="&amp;DATE(2026,11,1),Rabu!$A$7:$A$206,"&lt;="&amp;DATE(2026,11,30))+SUMIFS(Kamis!$H$7:$H$186,Kamis!$C$7:$C$186,$B14,Kamis!$A$7:$A$186,"&gt;="&amp;DATE(2026,11,1),Kamis!$A$7:$A$186,"&lt;="&amp;DATE(2026,11,30))+SUMIFS(Jumat!$H$7:$H$186,Jumat!$C$7:$C$186,$B14,Jumat!$A$7:$A$186,"&gt;="&amp;DATE(2026,11,1),Jumat!$A$7:$A$186,"&lt;="&amp;DATE(2026,11,30))</f>
        <v>0</v>
      </c>
      <c r="J14" s="45">
        <f>SUMIFS(Senin!$H$7:$H$146,Senin!$C$7:$C$146,$B14,Senin!$A$7:$A$146,"&gt;="&amp;DATE(2026,12,1),Senin!$A$7:$A$146,"&lt;="&amp;DATE(2026,12,31))+SUMIFS(Selasa!$H$7:$H$166,Selasa!$C$7:$C$166,$B14,Selasa!$A$7:$A$166,"&gt;="&amp;DATE(2026,12,1),Selasa!$A$7:$A$166,"&lt;="&amp;DATE(2026,12,31))+SUMIFS(Rabu!$H$7:$H$206,Rabu!$C$7:$C$206,$B14,Rabu!$A$7:$A$206,"&gt;="&amp;DATE(2026,12,1),Rabu!$A$7:$A$206,"&lt;="&amp;DATE(2026,12,31))+SUMIFS(Kamis!$H$7:$H$186,Kamis!$C$7:$C$186,$B14,Kamis!$A$7:$A$186,"&gt;="&amp;DATE(2026,12,1),Kamis!$A$7:$A$186,"&lt;="&amp;DATE(2026,12,31))+SUMIFS(Jumat!$H$7:$H$186,Jumat!$C$7:$C$186,$B14,Jumat!$A$7:$A$186,"&gt;="&amp;DATE(2026,12,1),Jumat!$A$7:$A$186,"&lt;="&amp;DATE(2026,12,31))</f>
        <v>0</v>
      </c>
      <c r="K14" s="45">
        <f>SUMIFS(Senin!$H$7:$H$146,Senin!$C$7:$C$146,$B14,Senin!$A$7:$A$146,"&gt;="&amp;DATE(2026,8,31),Senin!$A$7:$A$146,"&lt;="&amp;DATE(2026,9,6))+SUMIFS(Selasa!$H$7:$H$166,Selasa!$C$7:$C$166,$B14,Selasa!$A$7:$A$166,"&gt;="&amp;DATE(2026,8,31),Selasa!$A$7:$A$166,"&lt;="&amp;DATE(2026,9,6))+SUMIFS(Rabu!$H$7:$H$206,Rabu!$C$7:$C$206,$B14,Rabu!$A$7:$A$206,"&gt;="&amp;DATE(2026,8,31),Rabu!$A$7:$A$206,"&lt;="&amp;DATE(2026,9,6))+SUMIFS(Kamis!$H$7:$H$186,Kamis!$C$7:$C$186,$B14,Kamis!$A$7:$A$186,"&gt;="&amp;DATE(2026,8,31),Kamis!$A$7:$A$186,"&lt;="&amp;DATE(2026,9,6))+SUMIFS(Jumat!$H$7:$H$186,Jumat!$C$7:$C$186,$B14,Jumat!$A$7:$A$186,"&gt;="&amp;DATE(2026,8,31),Jumat!$A$7:$A$186,"&lt;="&amp;DATE(2026,9,6))</f>
        <v>0</v>
      </c>
      <c r="L14" s="45">
        <f>SUMIFS(Senin!$H$7:$H$146,Senin!$C$7:$C$146,$B14,Senin!$A$7:$A$146,"&gt;="&amp;DATE(2026,9,7),Senin!$A$7:$A$146,"&lt;="&amp;DATE(2026,9,13))+SUMIFS(Selasa!$H$7:$H$166,Selasa!$C$7:$C$166,$B14,Selasa!$A$7:$A$166,"&gt;="&amp;DATE(2026,9,7),Selasa!$A$7:$A$166,"&lt;="&amp;DATE(2026,9,13))+SUMIFS(Rabu!$H$7:$H$206,Rabu!$C$7:$C$206,$B14,Rabu!$A$7:$A$206,"&gt;="&amp;DATE(2026,9,7),Rabu!$A$7:$A$206,"&lt;="&amp;DATE(2026,9,13))+SUMIFS(Kamis!$H$7:$H$186,Kamis!$C$7:$C$186,$B14,Kamis!$A$7:$A$186,"&gt;="&amp;DATE(2026,9,7),Kamis!$A$7:$A$186,"&lt;="&amp;DATE(2026,9,13))+SUMIFS(Jumat!$H$7:$H$186,Jumat!$C$7:$C$186,$B14,Jumat!$A$7:$A$186,"&gt;="&amp;DATE(2026,9,7),Jumat!$A$7:$A$186,"&lt;="&amp;DATE(2026,9,13))</f>
        <v>0</v>
      </c>
      <c r="M14" s="45">
        <f>SUMIFS(Senin!$H$7:$H$146,Senin!$C$7:$C$146,$B14,Senin!$A$7:$A$146,"&gt;="&amp;DATE(2026,9,14),Senin!$A$7:$A$146,"&lt;="&amp;DATE(2026,9,20))+SUMIFS(Selasa!$H$7:$H$166,Selasa!$C$7:$C$166,$B14,Selasa!$A$7:$A$166,"&gt;="&amp;DATE(2026,9,14),Selasa!$A$7:$A$166,"&lt;="&amp;DATE(2026,9,20))+SUMIFS(Rabu!$H$7:$H$206,Rabu!$C$7:$C$206,$B14,Rabu!$A$7:$A$206,"&gt;="&amp;DATE(2026,9,14),Rabu!$A$7:$A$206,"&lt;="&amp;DATE(2026,9,20))+SUMIFS(Kamis!$H$7:$H$186,Kamis!$C$7:$C$186,$B14,Kamis!$A$7:$A$186,"&gt;="&amp;DATE(2026,9,14),Kamis!$A$7:$A$186,"&lt;="&amp;DATE(2026,9,20))+SUMIFS(Jumat!$H$7:$H$186,Jumat!$C$7:$C$186,$B14,Jumat!$A$7:$A$186,"&gt;="&amp;DATE(2026,9,14),Jumat!$A$7:$A$186,"&lt;="&amp;DATE(2026,9,20))</f>
        <v>0</v>
      </c>
      <c r="N14" s="45">
        <f>SUMIFS(Senin!$H$7:$H$146,Senin!$C$7:$C$146,$B14,Senin!$A$7:$A$146,"&gt;="&amp;DATE(2026,9,21),Senin!$A$7:$A$146,"&lt;="&amp;DATE(2026,9,27))+SUMIFS(Selasa!$H$7:$H$166,Selasa!$C$7:$C$166,$B14,Selasa!$A$7:$A$166,"&gt;="&amp;DATE(2026,9,21),Selasa!$A$7:$A$166,"&lt;="&amp;DATE(2026,9,27))+SUMIFS(Rabu!$H$7:$H$206,Rabu!$C$7:$C$206,$B14,Rabu!$A$7:$A$206,"&gt;="&amp;DATE(2026,9,21),Rabu!$A$7:$A$206,"&lt;="&amp;DATE(2026,9,27))+SUMIFS(Kamis!$H$7:$H$186,Kamis!$C$7:$C$186,$B14,Kamis!$A$7:$A$186,"&gt;="&amp;DATE(2026,9,21),Kamis!$A$7:$A$186,"&lt;="&amp;DATE(2026,9,27))+SUMIFS(Jumat!$H$7:$H$186,Jumat!$C$7:$C$186,$B14,Jumat!$A$7:$A$186,"&gt;="&amp;DATE(2026,9,21),Jumat!$A$7:$A$186,"&lt;="&amp;DATE(2026,9,27))</f>
        <v>0</v>
      </c>
      <c r="O14" s="45">
        <f>SUMIFS(Senin!$H$7:$H$146,Senin!$C$7:$C$146,$B14,Senin!$A$7:$A$146,"&gt;="&amp;DATE(2026,9,28),Senin!$A$7:$A$146,"&lt;="&amp;DATE(2026,10,4))+SUMIFS(Selasa!$H$7:$H$166,Selasa!$C$7:$C$166,$B14,Selasa!$A$7:$A$166,"&gt;="&amp;DATE(2026,9,28),Selasa!$A$7:$A$166,"&lt;="&amp;DATE(2026,10,4))+SUMIFS(Rabu!$H$7:$H$206,Rabu!$C$7:$C$206,$B14,Rabu!$A$7:$A$206,"&gt;="&amp;DATE(2026,9,28),Rabu!$A$7:$A$206,"&lt;="&amp;DATE(2026,10,4))+SUMIFS(Kamis!$H$7:$H$186,Kamis!$C$7:$C$186,$B14,Kamis!$A$7:$A$186,"&gt;="&amp;DATE(2026,9,28),Kamis!$A$7:$A$186,"&lt;="&amp;DATE(2026,10,4))+SUMIFS(Jumat!$H$7:$H$186,Jumat!$C$7:$C$186,$B14,Jumat!$A$7:$A$186,"&gt;="&amp;DATE(2026,9,28),Jumat!$A$7:$A$186,"&lt;="&amp;DATE(2026,10,4))</f>
        <v>0</v>
      </c>
      <c r="P14" s="45">
        <f>SUMIFS(Senin!$H$7:$H$146,Senin!$C$7:$C$146,$B14,Senin!$A$7:$A$146,"&gt;="&amp;DATE(2026,10,5),Senin!$A$7:$A$146,"&lt;="&amp;DATE(2026,10,11))+SUMIFS(Selasa!$H$7:$H$166,Selasa!$C$7:$C$166,$B14,Selasa!$A$7:$A$166,"&gt;="&amp;DATE(2026,10,5),Selasa!$A$7:$A$166,"&lt;="&amp;DATE(2026,10,11))+SUMIFS(Rabu!$H$7:$H$206,Rabu!$C$7:$C$206,$B14,Rabu!$A$7:$A$206,"&gt;="&amp;DATE(2026,10,5),Rabu!$A$7:$A$206,"&lt;="&amp;DATE(2026,10,11))+SUMIFS(Kamis!$H$7:$H$186,Kamis!$C$7:$C$186,$B14,Kamis!$A$7:$A$186,"&gt;="&amp;DATE(2026,10,5),Kamis!$A$7:$A$186,"&lt;="&amp;DATE(2026,10,11))+SUMIFS(Jumat!$H$7:$H$186,Jumat!$C$7:$C$186,$B14,Jumat!$A$7:$A$186,"&gt;="&amp;DATE(2026,10,5),Jumat!$A$7:$A$186,"&lt;="&amp;DATE(2026,10,11))</f>
        <v>0</v>
      </c>
      <c r="Q14" s="45">
        <f>SUMIFS(Senin!$H$7:$H$146,Senin!$C$7:$C$146,$B14,Senin!$A$7:$A$146,"&gt;="&amp;DATE(2026,10,12),Senin!$A$7:$A$146,"&lt;="&amp;DATE(2026,10,18))+SUMIFS(Selasa!$H$7:$H$166,Selasa!$C$7:$C$166,$B14,Selasa!$A$7:$A$166,"&gt;="&amp;DATE(2026,10,12),Selasa!$A$7:$A$166,"&lt;="&amp;DATE(2026,10,18))+SUMIFS(Rabu!$H$7:$H$206,Rabu!$C$7:$C$206,$B14,Rabu!$A$7:$A$206,"&gt;="&amp;DATE(2026,10,12),Rabu!$A$7:$A$206,"&lt;="&amp;DATE(2026,10,18))+SUMIFS(Kamis!$H$7:$H$186,Kamis!$C$7:$C$186,$B14,Kamis!$A$7:$A$186,"&gt;="&amp;DATE(2026,10,12),Kamis!$A$7:$A$186,"&lt;="&amp;DATE(2026,10,18))+SUMIFS(Jumat!$H$7:$H$186,Jumat!$C$7:$C$186,$B14,Jumat!$A$7:$A$186,"&gt;="&amp;DATE(2026,10,12),Jumat!$A$7:$A$186,"&lt;="&amp;DATE(2026,10,18))</f>
        <v>0</v>
      </c>
      <c r="R14" s="45">
        <f>SUMIFS(Senin!$H$7:$H$146,Senin!$C$7:$C$146,$B14,Senin!$A$7:$A$146,"&gt;="&amp;DATE(2026,10,19),Senin!$A$7:$A$146,"&lt;="&amp;DATE(2026,10,25))+SUMIFS(Selasa!$H$7:$H$166,Selasa!$C$7:$C$166,$B14,Selasa!$A$7:$A$166,"&gt;="&amp;DATE(2026,10,19),Selasa!$A$7:$A$166,"&lt;="&amp;DATE(2026,10,25))+SUMIFS(Rabu!$H$7:$H$206,Rabu!$C$7:$C$206,$B14,Rabu!$A$7:$A$206,"&gt;="&amp;DATE(2026,10,19),Rabu!$A$7:$A$206,"&lt;="&amp;DATE(2026,10,25))+SUMIFS(Kamis!$H$7:$H$186,Kamis!$C$7:$C$186,$B14,Kamis!$A$7:$A$186,"&gt;="&amp;DATE(2026,10,19),Kamis!$A$7:$A$186,"&lt;="&amp;DATE(2026,10,25))+SUMIFS(Jumat!$H$7:$H$186,Jumat!$C$7:$C$186,$B14,Jumat!$A$7:$A$186,"&gt;="&amp;DATE(2026,10,19),Jumat!$A$7:$A$186,"&lt;="&amp;DATE(2026,10,25))</f>
        <v>0</v>
      </c>
      <c r="S14" s="45">
        <f>SUMIFS(Senin!$H$7:$H$146,Senin!$C$7:$C$146,$B14,Senin!$A$7:$A$146,"&gt;="&amp;DATE(2026,10,26),Senin!$A$7:$A$146,"&lt;="&amp;DATE(2026,11,1))+SUMIFS(Selasa!$H$7:$H$166,Selasa!$C$7:$C$166,$B14,Selasa!$A$7:$A$166,"&gt;="&amp;DATE(2026,10,26),Selasa!$A$7:$A$166,"&lt;="&amp;DATE(2026,11,1))+SUMIFS(Rabu!$H$7:$H$206,Rabu!$C$7:$C$206,$B14,Rabu!$A$7:$A$206,"&gt;="&amp;DATE(2026,10,26),Rabu!$A$7:$A$206,"&lt;="&amp;DATE(2026,11,1))+SUMIFS(Kamis!$H$7:$H$186,Kamis!$C$7:$C$186,$B14,Kamis!$A$7:$A$186,"&gt;="&amp;DATE(2026,10,26),Kamis!$A$7:$A$186,"&lt;="&amp;DATE(2026,11,1))+SUMIFS(Jumat!$H$7:$H$186,Jumat!$C$7:$C$186,$B14,Jumat!$A$7:$A$186,"&gt;="&amp;DATE(2026,10,26),Jumat!$A$7:$A$186,"&lt;="&amp;DATE(2026,11,1))</f>
        <v>0</v>
      </c>
      <c r="T14" s="45">
        <f>SUMIFS(Senin!$H$7:$H$146,Senin!$C$7:$C$146,$B14,Senin!$A$7:$A$146,"&gt;="&amp;DATE(2026,11,2),Senin!$A$7:$A$146,"&lt;="&amp;DATE(2026,11,8))+SUMIFS(Selasa!$H$7:$H$166,Selasa!$C$7:$C$166,$B14,Selasa!$A$7:$A$166,"&gt;="&amp;DATE(2026,11,2),Selasa!$A$7:$A$166,"&lt;="&amp;DATE(2026,11,8))+SUMIFS(Rabu!$H$7:$H$206,Rabu!$C$7:$C$206,$B14,Rabu!$A$7:$A$206,"&gt;="&amp;DATE(2026,11,2),Rabu!$A$7:$A$206,"&lt;="&amp;DATE(2026,11,8))+SUMIFS(Kamis!$H$7:$H$186,Kamis!$C$7:$C$186,$B14,Kamis!$A$7:$A$186,"&gt;="&amp;DATE(2026,11,2),Kamis!$A$7:$A$186,"&lt;="&amp;DATE(2026,11,8))+SUMIFS(Jumat!$H$7:$H$186,Jumat!$C$7:$C$186,$B14,Jumat!$A$7:$A$186,"&gt;="&amp;DATE(2026,11,2),Jumat!$A$7:$A$186,"&lt;="&amp;DATE(2026,11,8))</f>
        <v>0</v>
      </c>
      <c r="U14" s="45">
        <f>SUMIFS(Senin!$H$7:$H$146,Senin!$C$7:$C$146,$B14,Senin!$A$7:$A$146,"&gt;="&amp;DATE(2026,11,9),Senin!$A$7:$A$146,"&lt;="&amp;DATE(2026,11,15))+SUMIFS(Selasa!$H$7:$H$166,Selasa!$C$7:$C$166,$B14,Selasa!$A$7:$A$166,"&gt;="&amp;DATE(2026,11,9),Selasa!$A$7:$A$166,"&lt;="&amp;DATE(2026,11,15))+SUMIFS(Rabu!$H$7:$H$206,Rabu!$C$7:$C$206,$B14,Rabu!$A$7:$A$206,"&gt;="&amp;DATE(2026,11,9),Rabu!$A$7:$A$206,"&lt;="&amp;DATE(2026,11,15))+SUMIFS(Kamis!$H$7:$H$186,Kamis!$C$7:$C$186,$B14,Kamis!$A$7:$A$186,"&gt;="&amp;DATE(2026,11,9),Kamis!$A$7:$A$186,"&lt;="&amp;DATE(2026,11,15))+SUMIFS(Jumat!$H$7:$H$186,Jumat!$C$7:$C$186,$B14,Jumat!$A$7:$A$186,"&gt;="&amp;DATE(2026,11,9),Jumat!$A$7:$A$186,"&lt;="&amp;DATE(2026,11,15))</f>
        <v>0</v>
      </c>
      <c r="V14" s="45">
        <f>SUMIFS(Senin!$H$7:$H$146,Senin!$C$7:$C$146,$B14,Senin!$A$7:$A$146,"&gt;="&amp;DATE(2026,11,16),Senin!$A$7:$A$146,"&lt;="&amp;DATE(2026,11,22))+SUMIFS(Selasa!$H$7:$H$166,Selasa!$C$7:$C$166,$B14,Selasa!$A$7:$A$166,"&gt;="&amp;DATE(2026,11,16),Selasa!$A$7:$A$166,"&lt;="&amp;DATE(2026,11,22))+SUMIFS(Rabu!$H$7:$H$206,Rabu!$C$7:$C$206,$B14,Rabu!$A$7:$A$206,"&gt;="&amp;DATE(2026,11,16),Rabu!$A$7:$A$206,"&lt;="&amp;DATE(2026,11,22))+SUMIFS(Kamis!$H$7:$H$186,Kamis!$C$7:$C$186,$B14,Kamis!$A$7:$A$186,"&gt;="&amp;DATE(2026,11,16),Kamis!$A$7:$A$186,"&lt;="&amp;DATE(2026,11,22))+SUMIFS(Jumat!$H$7:$H$186,Jumat!$C$7:$C$186,$B14,Jumat!$A$7:$A$186,"&gt;="&amp;DATE(2026,11,16),Jumat!$A$7:$A$186,"&lt;="&amp;DATE(2026,11,22))</f>
        <v>0</v>
      </c>
      <c r="W14" s="45">
        <f>SUMIFS(Senin!$H$7:$H$146,Senin!$C$7:$C$146,$B14,Senin!$A$7:$A$146,"&gt;="&amp;DATE(2026,11,23),Senin!$A$7:$A$146,"&lt;="&amp;DATE(2026,11,29))+SUMIFS(Selasa!$H$7:$H$166,Selasa!$C$7:$C$166,$B14,Selasa!$A$7:$A$166,"&gt;="&amp;DATE(2026,11,23),Selasa!$A$7:$A$166,"&lt;="&amp;DATE(2026,11,29))+SUMIFS(Rabu!$H$7:$H$206,Rabu!$C$7:$C$206,$B14,Rabu!$A$7:$A$206,"&gt;="&amp;DATE(2026,11,23),Rabu!$A$7:$A$206,"&lt;="&amp;DATE(2026,11,29))+SUMIFS(Kamis!$H$7:$H$186,Kamis!$C$7:$C$186,$B14,Kamis!$A$7:$A$186,"&gt;="&amp;DATE(2026,11,23),Kamis!$A$7:$A$186,"&lt;="&amp;DATE(2026,11,29))+SUMIFS(Jumat!$H$7:$H$186,Jumat!$C$7:$C$186,$B14,Jumat!$A$7:$A$186,"&gt;="&amp;DATE(2026,11,23),Jumat!$A$7:$A$186,"&lt;="&amp;DATE(2026,11,29))</f>
        <v>0</v>
      </c>
      <c r="X14" s="45">
        <f>SUMIFS(Senin!$H$7:$H$146,Senin!$C$7:$C$146,$B14,Senin!$A$7:$A$146,"&gt;="&amp;DATE(2026,11,30),Senin!$A$7:$A$146,"&lt;="&amp;DATE(2026,12,6))+SUMIFS(Selasa!$H$7:$H$166,Selasa!$C$7:$C$166,$B14,Selasa!$A$7:$A$166,"&gt;="&amp;DATE(2026,11,30),Selasa!$A$7:$A$166,"&lt;="&amp;DATE(2026,12,6))+SUMIFS(Rabu!$H$7:$H$206,Rabu!$C$7:$C$206,$B14,Rabu!$A$7:$A$206,"&gt;="&amp;DATE(2026,11,30),Rabu!$A$7:$A$206,"&lt;="&amp;DATE(2026,12,6))+SUMIFS(Kamis!$H$7:$H$186,Kamis!$C$7:$C$186,$B14,Kamis!$A$7:$A$186,"&gt;="&amp;DATE(2026,11,30),Kamis!$A$7:$A$186,"&lt;="&amp;DATE(2026,12,6))+SUMIFS(Jumat!$H$7:$H$186,Jumat!$C$7:$C$186,$B14,Jumat!$A$7:$A$186,"&gt;="&amp;DATE(2026,11,30),Jumat!$A$7:$A$186,"&lt;="&amp;DATE(2026,12,6))</f>
        <v>0</v>
      </c>
      <c r="Y14" s="45">
        <f>SUMIFS(Senin!$H$7:$H$146,Senin!$C$7:$C$146,$B14,Senin!$A$7:$A$146,"&gt;="&amp;DATE(2026,12,7),Senin!$A$7:$A$146,"&lt;="&amp;DATE(2026,12,13))+SUMIFS(Selasa!$H$7:$H$166,Selasa!$C$7:$C$166,$B14,Selasa!$A$7:$A$166,"&gt;="&amp;DATE(2026,12,7),Selasa!$A$7:$A$166,"&lt;="&amp;DATE(2026,12,13))+SUMIFS(Rabu!$H$7:$H$206,Rabu!$C$7:$C$206,$B14,Rabu!$A$7:$A$206,"&gt;="&amp;DATE(2026,12,7),Rabu!$A$7:$A$206,"&lt;="&amp;DATE(2026,12,13))+SUMIFS(Kamis!$H$7:$H$186,Kamis!$C$7:$C$186,$B14,Kamis!$A$7:$A$186,"&gt;="&amp;DATE(2026,12,7),Kamis!$A$7:$A$186,"&lt;="&amp;DATE(2026,12,13))+SUMIFS(Jumat!$H$7:$H$186,Jumat!$C$7:$C$186,$B14,Jumat!$A$7:$A$186,"&gt;="&amp;DATE(2026,12,7),Jumat!$A$7:$A$186,"&lt;="&amp;DATE(2026,12,13))</f>
        <v>0</v>
      </c>
      <c r="Z14" s="45">
        <f>SUMIFS(Senin!$H$7:$H$146,Senin!$C$7:$C$146,$B14,Senin!$A$7:$A$146,"&gt;="&amp;DATE(2026,12,14),Senin!$A$7:$A$146,"&lt;="&amp;DATE(2026,12,20))+SUMIFS(Selasa!$H$7:$H$166,Selasa!$C$7:$C$166,$B14,Selasa!$A$7:$A$166,"&gt;="&amp;DATE(2026,12,14),Selasa!$A$7:$A$166,"&lt;="&amp;DATE(2026,12,20))+SUMIFS(Rabu!$H$7:$H$206,Rabu!$C$7:$C$206,$B14,Rabu!$A$7:$A$206,"&gt;="&amp;DATE(2026,12,14),Rabu!$A$7:$A$206,"&lt;="&amp;DATE(2026,12,20))+SUMIFS(Kamis!$H$7:$H$186,Kamis!$C$7:$C$186,$B14,Kamis!$A$7:$A$186,"&gt;="&amp;DATE(2026,12,14),Kamis!$A$7:$A$186,"&lt;="&amp;DATE(2026,12,20))+SUMIFS(Jumat!$H$7:$H$186,Jumat!$C$7:$C$186,$B14,Jumat!$A$7:$A$186,"&gt;="&amp;DATE(2026,12,14),Jumat!$A$7:$A$186,"&lt;="&amp;DATE(2026,12,20))</f>
        <v>0</v>
      </c>
      <c r="AA14" s="45">
        <f>SUMIFS(Senin!$H$7:$H$146,Senin!$C$7:$C$146,$B14,Senin!$A$7:$A$146,"&gt;="&amp;DATE(2026,12,21),Senin!$A$7:$A$146,"&lt;="&amp;DATE(2026,12,27))+SUMIFS(Selasa!$H$7:$H$166,Selasa!$C$7:$C$166,$B14,Selasa!$A$7:$A$166,"&gt;="&amp;DATE(2026,12,21),Selasa!$A$7:$A$166,"&lt;="&amp;DATE(2026,12,27))+SUMIFS(Rabu!$H$7:$H$206,Rabu!$C$7:$C$206,$B14,Rabu!$A$7:$A$206,"&gt;="&amp;DATE(2026,12,21),Rabu!$A$7:$A$206,"&lt;="&amp;DATE(2026,12,27))+SUMIFS(Kamis!$H$7:$H$186,Kamis!$C$7:$C$186,$B14,Kamis!$A$7:$A$186,"&gt;="&amp;DATE(2026,12,21),Kamis!$A$7:$A$186,"&lt;="&amp;DATE(2026,12,27))+SUMIFS(Jumat!$H$7:$H$186,Jumat!$C$7:$C$186,$B14,Jumat!$A$7:$A$186,"&gt;="&amp;DATE(2026,12,21),Jumat!$A$7:$A$186,"&lt;="&amp;DATE(2026,12,27))</f>
        <v>0</v>
      </c>
      <c r="AB14" s="45">
        <f>SUMIFS(Senin!$H$7:$H$146,Senin!$C$7:$C$146,$B14,Senin!$A$7:$A$146,"&gt;="&amp;DATE(2026,12,28),Senin!$A$7:$A$146,"&lt;="&amp;DATE(2027,1,3))+SUMIFS(Selasa!$H$7:$H$166,Selasa!$C$7:$C$166,$B14,Selasa!$A$7:$A$166,"&gt;="&amp;DATE(2026,12,28),Selasa!$A$7:$A$166,"&lt;="&amp;DATE(2027,1,3))+SUMIFS(Rabu!$H$7:$H$206,Rabu!$C$7:$C$206,$B14,Rabu!$A$7:$A$206,"&gt;="&amp;DATE(2026,12,28),Rabu!$A$7:$A$206,"&lt;="&amp;DATE(2027,1,3))+SUMIFS(Kamis!$H$7:$H$186,Kamis!$C$7:$C$186,$B14,Kamis!$A$7:$A$186,"&gt;="&amp;DATE(2026,12,28),Kamis!$A$7:$A$186,"&lt;="&amp;DATE(2027,1,3))+SUMIFS(Jumat!$H$7:$H$186,Jumat!$C$7:$C$186,$B14,Jumat!$A$7:$A$186,"&gt;="&amp;DATE(2026,12,28),Jumat!$A$7:$A$186,"&lt;="&amp;DATE(2027,1,3))</f>
        <v>0</v>
      </c>
      <c r="AC14" s="45">
        <f>SUMIFS(Senin!$H$7:$H$146,Senin!$C$7:$C$146,$B14,Senin!$A$7:$A$146,"&gt;="&amp;DATE(2027,1,4),Senin!$A$7:$A$146,"&lt;="&amp;DATE(2027,1,10))+SUMIFS(Selasa!$H$7:$H$166,Selasa!$C$7:$C$166,$B14,Selasa!$A$7:$A$166,"&gt;="&amp;DATE(2027,1,4),Selasa!$A$7:$A$166,"&lt;="&amp;DATE(2027,1,10))+SUMIFS(Rabu!$H$7:$H$206,Rabu!$C$7:$C$206,$B14,Rabu!$A$7:$A$206,"&gt;="&amp;DATE(2027,1,4),Rabu!$A$7:$A$206,"&lt;="&amp;DATE(2027,1,10))+SUMIFS(Kamis!$H$7:$H$186,Kamis!$C$7:$C$186,$B14,Kamis!$A$7:$A$186,"&gt;="&amp;DATE(2027,1,4),Kamis!$A$7:$A$186,"&lt;="&amp;DATE(2027,1,10))+SUMIFS(Jumat!$H$7:$H$186,Jumat!$C$7:$C$186,$B14,Jumat!$A$7:$A$186,"&gt;="&amp;DATE(2027,1,4),Jumat!$A$7:$A$186,"&lt;="&amp;DATE(2027,1,10))</f>
        <v>0</v>
      </c>
      <c r="AD14" s="45">
        <f>SUMIFS(Senin!$H$7:$H$146,Senin!$C$7:$C$146,$B14,Senin!$A$7:$A$146,"&gt;="&amp;DATE(2027,1,11),Senin!$A$7:$A$146,"&lt;="&amp;DATE(2027,1,17))+SUMIFS(Selasa!$H$7:$H$166,Selasa!$C$7:$C$166,$B14,Selasa!$A$7:$A$166,"&gt;="&amp;DATE(2027,1,11),Selasa!$A$7:$A$166,"&lt;="&amp;DATE(2027,1,17))+SUMIFS(Rabu!$H$7:$H$206,Rabu!$C$7:$C$206,$B14,Rabu!$A$7:$A$206,"&gt;="&amp;DATE(2027,1,11),Rabu!$A$7:$A$206,"&lt;="&amp;DATE(2027,1,17))+SUMIFS(Kamis!$H$7:$H$186,Kamis!$C$7:$C$186,$B14,Kamis!$A$7:$A$186,"&gt;="&amp;DATE(2027,1,11),Kamis!$A$7:$A$186,"&lt;="&amp;DATE(2027,1,17))+SUMIFS(Jumat!$H$7:$H$186,Jumat!$C$7:$C$186,$B14,Jumat!$A$7:$A$186,"&gt;="&amp;DATE(2027,1,11),Jumat!$A$7:$A$186,"&lt;="&amp;DATE(2027,1,17))</f>
        <v>0</v>
      </c>
    </row>
    <row r="15" ht="14.25" customHeight="1">
      <c r="A15" s="27">
        <v>12.0</v>
      </c>
      <c r="B15" s="61" t="s">
        <v>35</v>
      </c>
      <c r="C15" s="41">
        <f>COUNTIFS(Senin!$C$7:$C$146,$B15,Senin!$G$7:$G$146,"Ya",Senin!$E$7:$E$146,"&lt;&gt;")+COUNTIFS(Selasa!$C$7:$C$166,$B15,Selasa!$G$7:$G$166,"Ya",Selasa!$E$7:$E$166,"&lt;&gt;")+COUNTIFS(Rabu!$C$7:$C$206,$B15,Rabu!$G$7:$G$206,"Ya",Rabu!$E$7:$E$206,"&lt;&gt;")+COUNTIFS(Kamis!$C$7:$C$186,$B15,Kamis!$G$7:$G$186,"Ya",Kamis!$E$7:$E$186,"&lt;&gt;")+COUNTIFS(Jumat!$C$7:$C$186,$B15,Jumat!$G$7:$G$186,"Ya",Jumat!$E$7:$E$186,"&lt;&gt;")</f>
        <v>0</v>
      </c>
      <c r="D15" s="41">
        <f>COUNTIFS(Senin!$C$7:$C$146,$B15,Senin!$G$7:$G$146,"Ya",Senin!$E$7:$E$146,"")+COUNTIFS(Selasa!$C$7:$C$166,$B15,Selasa!$G$7:$G$166,"Ya",Selasa!$E$7:$E$166,"")+COUNTIFS(Rabu!$C$7:$C$206,$B15,Rabu!$G$7:$G$206,"Ya",Rabu!$E$7:$E$206,"")+COUNTIFS(Kamis!$C$7:$C$186,$B15,Kamis!$G$7:$G$186,"Ya",Kamis!$E$7:$E$186,"")+COUNTIFS(Jumat!$C$7:$C$186,$B15,Jumat!$G$7:$G$186,"Ya",Jumat!$E$7:$E$186,"")</f>
        <v>0</v>
      </c>
      <c r="E15" s="45">
        <f>SUMIFS(Senin!$H$7:$H$146,Senin!$C$7:$C$146,$B15,Senin!$A$7:$A$146,"&gt;="&amp;DATE(2026,8,1),Senin!$A$7:$A$146,"&lt;="&amp;DATE(2026,12,31))+SUMIFS(Selasa!$H$7:$H$166,Selasa!$C$7:$C$166,$B15,Selasa!$A$7:$A$166,"&gt;="&amp;DATE(2026,8,1),Selasa!$A$7:$A$166,"&lt;="&amp;DATE(2026,12,31))+SUMIFS(Rabu!$H$7:$H$206,Rabu!$C$7:$C$206,$B15,Rabu!$A$7:$A$206,"&gt;="&amp;DATE(2026,8,1),Rabu!$A$7:$A$206,"&lt;="&amp;DATE(2026,12,31))+SUMIFS(Kamis!$H$7:$H$186,Kamis!$C$7:$C$186,$B15,Kamis!$A$7:$A$186,"&gt;="&amp;DATE(2026,8,1),Kamis!$A$7:$A$186,"&lt;="&amp;DATE(2026,12,31))+SUMIFS(Jumat!$H$7:$H$186,Jumat!$C$7:$C$186,$B15,Jumat!$A$7:$A$186,"&gt;="&amp;DATE(2026,8,1),Jumat!$A$7:$A$186,"&lt;="&amp;DATE(2026,12,31))</f>
        <v>0</v>
      </c>
      <c r="F15" s="45">
        <f>SUMIFS(Senin!$H$7:$H$146,Senin!$C$7:$C$146,$B15,Senin!$A$7:$A$146,"&gt;="&amp;DATE(2026,8,1),Senin!$A$7:$A$146,"&lt;="&amp;DATE(2026,8,31))+SUMIFS(Selasa!$H$7:$H$166,Selasa!$C$7:$C$166,$B15,Selasa!$A$7:$A$166,"&gt;="&amp;DATE(2026,8,1),Selasa!$A$7:$A$166,"&lt;="&amp;DATE(2026,8,31))+SUMIFS(Rabu!$H$7:$H$206,Rabu!$C$7:$C$206,$B15,Rabu!$A$7:$A$206,"&gt;="&amp;DATE(2026,8,1),Rabu!$A$7:$A$206,"&lt;="&amp;DATE(2026,8,31))+SUMIFS(Kamis!$H$7:$H$186,Kamis!$C$7:$C$186,$B15,Kamis!$A$7:$A$186,"&gt;="&amp;DATE(2026,8,1),Kamis!$A$7:$A$186,"&lt;="&amp;DATE(2026,8,31))+SUMIFS(Jumat!$H$7:$H$186,Jumat!$C$7:$C$186,$B15,Jumat!$A$7:$A$186,"&gt;="&amp;DATE(2026,8,1),Jumat!$A$7:$A$186,"&lt;="&amp;DATE(2026,8,31))</f>
        <v>0</v>
      </c>
      <c r="G15" s="45">
        <f>SUMIFS(Senin!$H$7:$H$146,Senin!$C$7:$C$146,$B15,Senin!$A$7:$A$146,"&gt;="&amp;DATE(2026,9,1),Senin!$A$7:$A$146,"&lt;="&amp;DATE(2026,9,30))+SUMIFS(Selasa!$H$7:$H$166,Selasa!$C$7:$C$166,$B15,Selasa!$A$7:$A$166,"&gt;="&amp;DATE(2026,9,1),Selasa!$A$7:$A$166,"&lt;="&amp;DATE(2026,9,30))+SUMIFS(Rabu!$H$7:$H$206,Rabu!$C$7:$C$206,$B15,Rabu!$A$7:$A$206,"&gt;="&amp;DATE(2026,9,1),Rabu!$A$7:$A$206,"&lt;="&amp;DATE(2026,9,30))+SUMIFS(Kamis!$H$7:$H$186,Kamis!$C$7:$C$186,$B15,Kamis!$A$7:$A$186,"&gt;="&amp;DATE(2026,9,1),Kamis!$A$7:$A$186,"&lt;="&amp;DATE(2026,9,30))+SUMIFS(Jumat!$H$7:$H$186,Jumat!$C$7:$C$186,$B15,Jumat!$A$7:$A$186,"&gt;="&amp;DATE(2026,9,1),Jumat!$A$7:$A$186,"&lt;="&amp;DATE(2026,9,30))</f>
        <v>0</v>
      </c>
      <c r="H15" s="45">
        <f>SUMIFS(Senin!$H$7:$H$146,Senin!$C$7:$C$146,$B15,Senin!$A$7:$A$146,"&gt;="&amp;DATE(2026,10,1),Senin!$A$7:$A$146,"&lt;="&amp;DATE(2026,10,31))+SUMIFS(Selasa!$H$7:$H$166,Selasa!$C$7:$C$166,$B15,Selasa!$A$7:$A$166,"&gt;="&amp;DATE(2026,10,1),Selasa!$A$7:$A$166,"&lt;="&amp;DATE(2026,10,31))+SUMIFS(Rabu!$H$7:$H$206,Rabu!$C$7:$C$206,$B15,Rabu!$A$7:$A$206,"&gt;="&amp;DATE(2026,10,1),Rabu!$A$7:$A$206,"&lt;="&amp;DATE(2026,10,31))+SUMIFS(Kamis!$H$7:$H$186,Kamis!$C$7:$C$186,$B15,Kamis!$A$7:$A$186,"&gt;="&amp;DATE(2026,10,1),Kamis!$A$7:$A$186,"&lt;="&amp;DATE(2026,10,31))+SUMIFS(Jumat!$H$7:$H$186,Jumat!$C$7:$C$186,$B15,Jumat!$A$7:$A$186,"&gt;="&amp;DATE(2026,10,1),Jumat!$A$7:$A$186,"&lt;="&amp;DATE(2026,10,31))</f>
        <v>0</v>
      </c>
      <c r="I15" s="45">
        <f>SUMIFS(Senin!$H$7:$H$146,Senin!$C$7:$C$146,$B15,Senin!$A$7:$A$146,"&gt;="&amp;DATE(2026,11,1),Senin!$A$7:$A$146,"&lt;="&amp;DATE(2026,11,30))+SUMIFS(Selasa!$H$7:$H$166,Selasa!$C$7:$C$166,$B15,Selasa!$A$7:$A$166,"&gt;="&amp;DATE(2026,11,1),Selasa!$A$7:$A$166,"&lt;="&amp;DATE(2026,11,30))+SUMIFS(Rabu!$H$7:$H$206,Rabu!$C$7:$C$206,$B15,Rabu!$A$7:$A$206,"&gt;="&amp;DATE(2026,11,1),Rabu!$A$7:$A$206,"&lt;="&amp;DATE(2026,11,30))+SUMIFS(Kamis!$H$7:$H$186,Kamis!$C$7:$C$186,$B15,Kamis!$A$7:$A$186,"&gt;="&amp;DATE(2026,11,1),Kamis!$A$7:$A$186,"&lt;="&amp;DATE(2026,11,30))+SUMIFS(Jumat!$H$7:$H$186,Jumat!$C$7:$C$186,$B15,Jumat!$A$7:$A$186,"&gt;="&amp;DATE(2026,11,1),Jumat!$A$7:$A$186,"&lt;="&amp;DATE(2026,11,30))</f>
        <v>0</v>
      </c>
      <c r="J15" s="45">
        <f>SUMIFS(Senin!$H$7:$H$146,Senin!$C$7:$C$146,$B15,Senin!$A$7:$A$146,"&gt;="&amp;DATE(2026,12,1),Senin!$A$7:$A$146,"&lt;="&amp;DATE(2026,12,31))+SUMIFS(Selasa!$H$7:$H$166,Selasa!$C$7:$C$166,$B15,Selasa!$A$7:$A$166,"&gt;="&amp;DATE(2026,12,1),Selasa!$A$7:$A$166,"&lt;="&amp;DATE(2026,12,31))+SUMIFS(Rabu!$H$7:$H$206,Rabu!$C$7:$C$206,$B15,Rabu!$A$7:$A$206,"&gt;="&amp;DATE(2026,12,1),Rabu!$A$7:$A$206,"&lt;="&amp;DATE(2026,12,31))+SUMIFS(Kamis!$H$7:$H$186,Kamis!$C$7:$C$186,$B15,Kamis!$A$7:$A$186,"&gt;="&amp;DATE(2026,12,1),Kamis!$A$7:$A$186,"&lt;="&amp;DATE(2026,12,31))+SUMIFS(Jumat!$H$7:$H$186,Jumat!$C$7:$C$186,$B15,Jumat!$A$7:$A$186,"&gt;="&amp;DATE(2026,12,1),Jumat!$A$7:$A$186,"&lt;="&amp;DATE(2026,12,31))</f>
        <v>0</v>
      </c>
      <c r="K15" s="45">
        <f>SUMIFS(Senin!$H$7:$H$146,Senin!$C$7:$C$146,$B15,Senin!$A$7:$A$146,"&gt;="&amp;DATE(2026,8,31),Senin!$A$7:$A$146,"&lt;="&amp;DATE(2026,9,6))+SUMIFS(Selasa!$H$7:$H$166,Selasa!$C$7:$C$166,$B15,Selasa!$A$7:$A$166,"&gt;="&amp;DATE(2026,8,31),Selasa!$A$7:$A$166,"&lt;="&amp;DATE(2026,9,6))+SUMIFS(Rabu!$H$7:$H$206,Rabu!$C$7:$C$206,$B15,Rabu!$A$7:$A$206,"&gt;="&amp;DATE(2026,8,31),Rabu!$A$7:$A$206,"&lt;="&amp;DATE(2026,9,6))+SUMIFS(Kamis!$H$7:$H$186,Kamis!$C$7:$C$186,$B15,Kamis!$A$7:$A$186,"&gt;="&amp;DATE(2026,8,31),Kamis!$A$7:$A$186,"&lt;="&amp;DATE(2026,9,6))+SUMIFS(Jumat!$H$7:$H$186,Jumat!$C$7:$C$186,$B15,Jumat!$A$7:$A$186,"&gt;="&amp;DATE(2026,8,31),Jumat!$A$7:$A$186,"&lt;="&amp;DATE(2026,9,6))</f>
        <v>0</v>
      </c>
      <c r="L15" s="45">
        <f>SUMIFS(Senin!$H$7:$H$146,Senin!$C$7:$C$146,$B15,Senin!$A$7:$A$146,"&gt;="&amp;DATE(2026,9,7),Senin!$A$7:$A$146,"&lt;="&amp;DATE(2026,9,13))+SUMIFS(Selasa!$H$7:$H$166,Selasa!$C$7:$C$166,$B15,Selasa!$A$7:$A$166,"&gt;="&amp;DATE(2026,9,7),Selasa!$A$7:$A$166,"&lt;="&amp;DATE(2026,9,13))+SUMIFS(Rabu!$H$7:$H$206,Rabu!$C$7:$C$206,$B15,Rabu!$A$7:$A$206,"&gt;="&amp;DATE(2026,9,7),Rabu!$A$7:$A$206,"&lt;="&amp;DATE(2026,9,13))+SUMIFS(Kamis!$H$7:$H$186,Kamis!$C$7:$C$186,$B15,Kamis!$A$7:$A$186,"&gt;="&amp;DATE(2026,9,7),Kamis!$A$7:$A$186,"&lt;="&amp;DATE(2026,9,13))+SUMIFS(Jumat!$H$7:$H$186,Jumat!$C$7:$C$186,$B15,Jumat!$A$7:$A$186,"&gt;="&amp;DATE(2026,9,7),Jumat!$A$7:$A$186,"&lt;="&amp;DATE(2026,9,13))</f>
        <v>0</v>
      </c>
      <c r="M15" s="45">
        <f>SUMIFS(Senin!$H$7:$H$146,Senin!$C$7:$C$146,$B15,Senin!$A$7:$A$146,"&gt;="&amp;DATE(2026,9,14),Senin!$A$7:$A$146,"&lt;="&amp;DATE(2026,9,20))+SUMIFS(Selasa!$H$7:$H$166,Selasa!$C$7:$C$166,$B15,Selasa!$A$7:$A$166,"&gt;="&amp;DATE(2026,9,14),Selasa!$A$7:$A$166,"&lt;="&amp;DATE(2026,9,20))+SUMIFS(Rabu!$H$7:$H$206,Rabu!$C$7:$C$206,$B15,Rabu!$A$7:$A$206,"&gt;="&amp;DATE(2026,9,14),Rabu!$A$7:$A$206,"&lt;="&amp;DATE(2026,9,20))+SUMIFS(Kamis!$H$7:$H$186,Kamis!$C$7:$C$186,$B15,Kamis!$A$7:$A$186,"&gt;="&amp;DATE(2026,9,14),Kamis!$A$7:$A$186,"&lt;="&amp;DATE(2026,9,20))+SUMIFS(Jumat!$H$7:$H$186,Jumat!$C$7:$C$186,$B15,Jumat!$A$7:$A$186,"&gt;="&amp;DATE(2026,9,14),Jumat!$A$7:$A$186,"&lt;="&amp;DATE(2026,9,20))</f>
        <v>0</v>
      </c>
      <c r="N15" s="45">
        <f>SUMIFS(Senin!$H$7:$H$146,Senin!$C$7:$C$146,$B15,Senin!$A$7:$A$146,"&gt;="&amp;DATE(2026,9,21),Senin!$A$7:$A$146,"&lt;="&amp;DATE(2026,9,27))+SUMIFS(Selasa!$H$7:$H$166,Selasa!$C$7:$C$166,$B15,Selasa!$A$7:$A$166,"&gt;="&amp;DATE(2026,9,21),Selasa!$A$7:$A$166,"&lt;="&amp;DATE(2026,9,27))+SUMIFS(Rabu!$H$7:$H$206,Rabu!$C$7:$C$206,$B15,Rabu!$A$7:$A$206,"&gt;="&amp;DATE(2026,9,21),Rabu!$A$7:$A$206,"&lt;="&amp;DATE(2026,9,27))+SUMIFS(Kamis!$H$7:$H$186,Kamis!$C$7:$C$186,$B15,Kamis!$A$7:$A$186,"&gt;="&amp;DATE(2026,9,21),Kamis!$A$7:$A$186,"&lt;="&amp;DATE(2026,9,27))+SUMIFS(Jumat!$H$7:$H$186,Jumat!$C$7:$C$186,$B15,Jumat!$A$7:$A$186,"&gt;="&amp;DATE(2026,9,21),Jumat!$A$7:$A$186,"&lt;="&amp;DATE(2026,9,27))</f>
        <v>0</v>
      </c>
      <c r="O15" s="45">
        <f>SUMIFS(Senin!$H$7:$H$146,Senin!$C$7:$C$146,$B15,Senin!$A$7:$A$146,"&gt;="&amp;DATE(2026,9,28),Senin!$A$7:$A$146,"&lt;="&amp;DATE(2026,10,4))+SUMIFS(Selasa!$H$7:$H$166,Selasa!$C$7:$C$166,$B15,Selasa!$A$7:$A$166,"&gt;="&amp;DATE(2026,9,28),Selasa!$A$7:$A$166,"&lt;="&amp;DATE(2026,10,4))+SUMIFS(Rabu!$H$7:$H$206,Rabu!$C$7:$C$206,$B15,Rabu!$A$7:$A$206,"&gt;="&amp;DATE(2026,9,28),Rabu!$A$7:$A$206,"&lt;="&amp;DATE(2026,10,4))+SUMIFS(Kamis!$H$7:$H$186,Kamis!$C$7:$C$186,$B15,Kamis!$A$7:$A$186,"&gt;="&amp;DATE(2026,9,28),Kamis!$A$7:$A$186,"&lt;="&amp;DATE(2026,10,4))+SUMIFS(Jumat!$H$7:$H$186,Jumat!$C$7:$C$186,$B15,Jumat!$A$7:$A$186,"&gt;="&amp;DATE(2026,9,28),Jumat!$A$7:$A$186,"&lt;="&amp;DATE(2026,10,4))</f>
        <v>0</v>
      </c>
      <c r="P15" s="45">
        <f>SUMIFS(Senin!$H$7:$H$146,Senin!$C$7:$C$146,$B15,Senin!$A$7:$A$146,"&gt;="&amp;DATE(2026,10,5),Senin!$A$7:$A$146,"&lt;="&amp;DATE(2026,10,11))+SUMIFS(Selasa!$H$7:$H$166,Selasa!$C$7:$C$166,$B15,Selasa!$A$7:$A$166,"&gt;="&amp;DATE(2026,10,5),Selasa!$A$7:$A$166,"&lt;="&amp;DATE(2026,10,11))+SUMIFS(Rabu!$H$7:$H$206,Rabu!$C$7:$C$206,$B15,Rabu!$A$7:$A$206,"&gt;="&amp;DATE(2026,10,5),Rabu!$A$7:$A$206,"&lt;="&amp;DATE(2026,10,11))+SUMIFS(Kamis!$H$7:$H$186,Kamis!$C$7:$C$186,$B15,Kamis!$A$7:$A$186,"&gt;="&amp;DATE(2026,10,5),Kamis!$A$7:$A$186,"&lt;="&amp;DATE(2026,10,11))+SUMIFS(Jumat!$H$7:$H$186,Jumat!$C$7:$C$186,$B15,Jumat!$A$7:$A$186,"&gt;="&amp;DATE(2026,10,5),Jumat!$A$7:$A$186,"&lt;="&amp;DATE(2026,10,11))</f>
        <v>0</v>
      </c>
      <c r="Q15" s="45">
        <f>SUMIFS(Senin!$H$7:$H$146,Senin!$C$7:$C$146,$B15,Senin!$A$7:$A$146,"&gt;="&amp;DATE(2026,10,12),Senin!$A$7:$A$146,"&lt;="&amp;DATE(2026,10,18))+SUMIFS(Selasa!$H$7:$H$166,Selasa!$C$7:$C$166,$B15,Selasa!$A$7:$A$166,"&gt;="&amp;DATE(2026,10,12),Selasa!$A$7:$A$166,"&lt;="&amp;DATE(2026,10,18))+SUMIFS(Rabu!$H$7:$H$206,Rabu!$C$7:$C$206,$B15,Rabu!$A$7:$A$206,"&gt;="&amp;DATE(2026,10,12),Rabu!$A$7:$A$206,"&lt;="&amp;DATE(2026,10,18))+SUMIFS(Kamis!$H$7:$H$186,Kamis!$C$7:$C$186,$B15,Kamis!$A$7:$A$186,"&gt;="&amp;DATE(2026,10,12),Kamis!$A$7:$A$186,"&lt;="&amp;DATE(2026,10,18))+SUMIFS(Jumat!$H$7:$H$186,Jumat!$C$7:$C$186,$B15,Jumat!$A$7:$A$186,"&gt;="&amp;DATE(2026,10,12),Jumat!$A$7:$A$186,"&lt;="&amp;DATE(2026,10,18))</f>
        <v>0</v>
      </c>
      <c r="R15" s="45">
        <f>SUMIFS(Senin!$H$7:$H$146,Senin!$C$7:$C$146,$B15,Senin!$A$7:$A$146,"&gt;="&amp;DATE(2026,10,19),Senin!$A$7:$A$146,"&lt;="&amp;DATE(2026,10,25))+SUMIFS(Selasa!$H$7:$H$166,Selasa!$C$7:$C$166,$B15,Selasa!$A$7:$A$166,"&gt;="&amp;DATE(2026,10,19),Selasa!$A$7:$A$166,"&lt;="&amp;DATE(2026,10,25))+SUMIFS(Rabu!$H$7:$H$206,Rabu!$C$7:$C$206,$B15,Rabu!$A$7:$A$206,"&gt;="&amp;DATE(2026,10,19),Rabu!$A$7:$A$206,"&lt;="&amp;DATE(2026,10,25))+SUMIFS(Kamis!$H$7:$H$186,Kamis!$C$7:$C$186,$B15,Kamis!$A$7:$A$186,"&gt;="&amp;DATE(2026,10,19),Kamis!$A$7:$A$186,"&lt;="&amp;DATE(2026,10,25))+SUMIFS(Jumat!$H$7:$H$186,Jumat!$C$7:$C$186,$B15,Jumat!$A$7:$A$186,"&gt;="&amp;DATE(2026,10,19),Jumat!$A$7:$A$186,"&lt;="&amp;DATE(2026,10,25))</f>
        <v>0</v>
      </c>
      <c r="S15" s="45">
        <f>SUMIFS(Senin!$H$7:$H$146,Senin!$C$7:$C$146,$B15,Senin!$A$7:$A$146,"&gt;="&amp;DATE(2026,10,26),Senin!$A$7:$A$146,"&lt;="&amp;DATE(2026,11,1))+SUMIFS(Selasa!$H$7:$H$166,Selasa!$C$7:$C$166,$B15,Selasa!$A$7:$A$166,"&gt;="&amp;DATE(2026,10,26),Selasa!$A$7:$A$166,"&lt;="&amp;DATE(2026,11,1))+SUMIFS(Rabu!$H$7:$H$206,Rabu!$C$7:$C$206,$B15,Rabu!$A$7:$A$206,"&gt;="&amp;DATE(2026,10,26),Rabu!$A$7:$A$206,"&lt;="&amp;DATE(2026,11,1))+SUMIFS(Kamis!$H$7:$H$186,Kamis!$C$7:$C$186,$B15,Kamis!$A$7:$A$186,"&gt;="&amp;DATE(2026,10,26),Kamis!$A$7:$A$186,"&lt;="&amp;DATE(2026,11,1))+SUMIFS(Jumat!$H$7:$H$186,Jumat!$C$7:$C$186,$B15,Jumat!$A$7:$A$186,"&gt;="&amp;DATE(2026,10,26),Jumat!$A$7:$A$186,"&lt;="&amp;DATE(2026,11,1))</f>
        <v>0</v>
      </c>
      <c r="T15" s="45">
        <f>SUMIFS(Senin!$H$7:$H$146,Senin!$C$7:$C$146,$B15,Senin!$A$7:$A$146,"&gt;="&amp;DATE(2026,11,2),Senin!$A$7:$A$146,"&lt;="&amp;DATE(2026,11,8))+SUMIFS(Selasa!$H$7:$H$166,Selasa!$C$7:$C$166,$B15,Selasa!$A$7:$A$166,"&gt;="&amp;DATE(2026,11,2),Selasa!$A$7:$A$166,"&lt;="&amp;DATE(2026,11,8))+SUMIFS(Rabu!$H$7:$H$206,Rabu!$C$7:$C$206,$B15,Rabu!$A$7:$A$206,"&gt;="&amp;DATE(2026,11,2),Rabu!$A$7:$A$206,"&lt;="&amp;DATE(2026,11,8))+SUMIFS(Kamis!$H$7:$H$186,Kamis!$C$7:$C$186,$B15,Kamis!$A$7:$A$186,"&gt;="&amp;DATE(2026,11,2),Kamis!$A$7:$A$186,"&lt;="&amp;DATE(2026,11,8))+SUMIFS(Jumat!$H$7:$H$186,Jumat!$C$7:$C$186,$B15,Jumat!$A$7:$A$186,"&gt;="&amp;DATE(2026,11,2),Jumat!$A$7:$A$186,"&lt;="&amp;DATE(2026,11,8))</f>
        <v>0</v>
      </c>
      <c r="U15" s="45">
        <f>SUMIFS(Senin!$H$7:$H$146,Senin!$C$7:$C$146,$B15,Senin!$A$7:$A$146,"&gt;="&amp;DATE(2026,11,9),Senin!$A$7:$A$146,"&lt;="&amp;DATE(2026,11,15))+SUMIFS(Selasa!$H$7:$H$166,Selasa!$C$7:$C$166,$B15,Selasa!$A$7:$A$166,"&gt;="&amp;DATE(2026,11,9),Selasa!$A$7:$A$166,"&lt;="&amp;DATE(2026,11,15))+SUMIFS(Rabu!$H$7:$H$206,Rabu!$C$7:$C$206,$B15,Rabu!$A$7:$A$206,"&gt;="&amp;DATE(2026,11,9),Rabu!$A$7:$A$206,"&lt;="&amp;DATE(2026,11,15))+SUMIFS(Kamis!$H$7:$H$186,Kamis!$C$7:$C$186,$B15,Kamis!$A$7:$A$186,"&gt;="&amp;DATE(2026,11,9),Kamis!$A$7:$A$186,"&lt;="&amp;DATE(2026,11,15))+SUMIFS(Jumat!$H$7:$H$186,Jumat!$C$7:$C$186,$B15,Jumat!$A$7:$A$186,"&gt;="&amp;DATE(2026,11,9),Jumat!$A$7:$A$186,"&lt;="&amp;DATE(2026,11,15))</f>
        <v>0</v>
      </c>
      <c r="V15" s="45">
        <f>SUMIFS(Senin!$H$7:$H$146,Senin!$C$7:$C$146,$B15,Senin!$A$7:$A$146,"&gt;="&amp;DATE(2026,11,16),Senin!$A$7:$A$146,"&lt;="&amp;DATE(2026,11,22))+SUMIFS(Selasa!$H$7:$H$166,Selasa!$C$7:$C$166,$B15,Selasa!$A$7:$A$166,"&gt;="&amp;DATE(2026,11,16),Selasa!$A$7:$A$166,"&lt;="&amp;DATE(2026,11,22))+SUMIFS(Rabu!$H$7:$H$206,Rabu!$C$7:$C$206,$B15,Rabu!$A$7:$A$206,"&gt;="&amp;DATE(2026,11,16),Rabu!$A$7:$A$206,"&lt;="&amp;DATE(2026,11,22))+SUMIFS(Kamis!$H$7:$H$186,Kamis!$C$7:$C$186,$B15,Kamis!$A$7:$A$186,"&gt;="&amp;DATE(2026,11,16),Kamis!$A$7:$A$186,"&lt;="&amp;DATE(2026,11,22))+SUMIFS(Jumat!$H$7:$H$186,Jumat!$C$7:$C$186,$B15,Jumat!$A$7:$A$186,"&gt;="&amp;DATE(2026,11,16),Jumat!$A$7:$A$186,"&lt;="&amp;DATE(2026,11,22))</f>
        <v>0</v>
      </c>
      <c r="W15" s="45">
        <f>SUMIFS(Senin!$H$7:$H$146,Senin!$C$7:$C$146,$B15,Senin!$A$7:$A$146,"&gt;="&amp;DATE(2026,11,23),Senin!$A$7:$A$146,"&lt;="&amp;DATE(2026,11,29))+SUMIFS(Selasa!$H$7:$H$166,Selasa!$C$7:$C$166,$B15,Selasa!$A$7:$A$166,"&gt;="&amp;DATE(2026,11,23),Selasa!$A$7:$A$166,"&lt;="&amp;DATE(2026,11,29))+SUMIFS(Rabu!$H$7:$H$206,Rabu!$C$7:$C$206,$B15,Rabu!$A$7:$A$206,"&gt;="&amp;DATE(2026,11,23),Rabu!$A$7:$A$206,"&lt;="&amp;DATE(2026,11,29))+SUMIFS(Kamis!$H$7:$H$186,Kamis!$C$7:$C$186,$B15,Kamis!$A$7:$A$186,"&gt;="&amp;DATE(2026,11,23),Kamis!$A$7:$A$186,"&lt;="&amp;DATE(2026,11,29))+SUMIFS(Jumat!$H$7:$H$186,Jumat!$C$7:$C$186,$B15,Jumat!$A$7:$A$186,"&gt;="&amp;DATE(2026,11,23),Jumat!$A$7:$A$186,"&lt;="&amp;DATE(2026,11,29))</f>
        <v>0</v>
      </c>
      <c r="X15" s="45">
        <f>SUMIFS(Senin!$H$7:$H$146,Senin!$C$7:$C$146,$B15,Senin!$A$7:$A$146,"&gt;="&amp;DATE(2026,11,30),Senin!$A$7:$A$146,"&lt;="&amp;DATE(2026,12,6))+SUMIFS(Selasa!$H$7:$H$166,Selasa!$C$7:$C$166,$B15,Selasa!$A$7:$A$166,"&gt;="&amp;DATE(2026,11,30),Selasa!$A$7:$A$166,"&lt;="&amp;DATE(2026,12,6))+SUMIFS(Rabu!$H$7:$H$206,Rabu!$C$7:$C$206,$B15,Rabu!$A$7:$A$206,"&gt;="&amp;DATE(2026,11,30),Rabu!$A$7:$A$206,"&lt;="&amp;DATE(2026,12,6))+SUMIFS(Kamis!$H$7:$H$186,Kamis!$C$7:$C$186,$B15,Kamis!$A$7:$A$186,"&gt;="&amp;DATE(2026,11,30),Kamis!$A$7:$A$186,"&lt;="&amp;DATE(2026,12,6))+SUMIFS(Jumat!$H$7:$H$186,Jumat!$C$7:$C$186,$B15,Jumat!$A$7:$A$186,"&gt;="&amp;DATE(2026,11,30),Jumat!$A$7:$A$186,"&lt;="&amp;DATE(2026,12,6))</f>
        <v>0</v>
      </c>
      <c r="Y15" s="45">
        <f>SUMIFS(Senin!$H$7:$H$146,Senin!$C$7:$C$146,$B15,Senin!$A$7:$A$146,"&gt;="&amp;DATE(2026,12,7),Senin!$A$7:$A$146,"&lt;="&amp;DATE(2026,12,13))+SUMIFS(Selasa!$H$7:$H$166,Selasa!$C$7:$C$166,$B15,Selasa!$A$7:$A$166,"&gt;="&amp;DATE(2026,12,7),Selasa!$A$7:$A$166,"&lt;="&amp;DATE(2026,12,13))+SUMIFS(Rabu!$H$7:$H$206,Rabu!$C$7:$C$206,$B15,Rabu!$A$7:$A$206,"&gt;="&amp;DATE(2026,12,7),Rabu!$A$7:$A$206,"&lt;="&amp;DATE(2026,12,13))+SUMIFS(Kamis!$H$7:$H$186,Kamis!$C$7:$C$186,$B15,Kamis!$A$7:$A$186,"&gt;="&amp;DATE(2026,12,7),Kamis!$A$7:$A$186,"&lt;="&amp;DATE(2026,12,13))+SUMIFS(Jumat!$H$7:$H$186,Jumat!$C$7:$C$186,$B15,Jumat!$A$7:$A$186,"&gt;="&amp;DATE(2026,12,7),Jumat!$A$7:$A$186,"&lt;="&amp;DATE(2026,12,13))</f>
        <v>0</v>
      </c>
      <c r="Z15" s="45">
        <f>SUMIFS(Senin!$H$7:$H$146,Senin!$C$7:$C$146,$B15,Senin!$A$7:$A$146,"&gt;="&amp;DATE(2026,12,14),Senin!$A$7:$A$146,"&lt;="&amp;DATE(2026,12,20))+SUMIFS(Selasa!$H$7:$H$166,Selasa!$C$7:$C$166,$B15,Selasa!$A$7:$A$166,"&gt;="&amp;DATE(2026,12,14),Selasa!$A$7:$A$166,"&lt;="&amp;DATE(2026,12,20))+SUMIFS(Rabu!$H$7:$H$206,Rabu!$C$7:$C$206,$B15,Rabu!$A$7:$A$206,"&gt;="&amp;DATE(2026,12,14),Rabu!$A$7:$A$206,"&lt;="&amp;DATE(2026,12,20))+SUMIFS(Kamis!$H$7:$H$186,Kamis!$C$7:$C$186,$B15,Kamis!$A$7:$A$186,"&gt;="&amp;DATE(2026,12,14),Kamis!$A$7:$A$186,"&lt;="&amp;DATE(2026,12,20))+SUMIFS(Jumat!$H$7:$H$186,Jumat!$C$7:$C$186,$B15,Jumat!$A$7:$A$186,"&gt;="&amp;DATE(2026,12,14),Jumat!$A$7:$A$186,"&lt;="&amp;DATE(2026,12,20))</f>
        <v>0</v>
      </c>
      <c r="AA15" s="45">
        <f>SUMIFS(Senin!$H$7:$H$146,Senin!$C$7:$C$146,$B15,Senin!$A$7:$A$146,"&gt;="&amp;DATE(2026,12,21),Senin!$A$7:$A$146,"&lt;="&amp;DATE(2026,12,27))+SUMIFS(Selasa!$H$7:$H$166,Selasa!$C$7:$C$166,$B15,Selasa!$A$7:$A$166,"&gt;="&amp;DATE(2026,12,21),Selasa!$A$7:$A$166,"&lt;="&amp;DATE(2026,12,27))+SUMIFS(Rabu!$H$7:$H$206,Rabu!$C$7:$C$206,$B15,Rabu!$A$7:$A$206,"&gt;="&amp;DATE(2026,12,21),Rabu!$A$7:$A$206,"&lt;="&amp;DATE(2026,12,27))+SUMIFS(Kamis!$H$7:$H$186,Kamis!$C$7:$C$186,$B15,Kamis!$A$7:$A$186,"&gt;="&amp;DATE(2026,12,21),Kamis!$A$7:$A$186,"&lt;="&amp;DATE(2026,12,27))+SUMIFS(Jumat!$H$7:$H$186,Jumat!$C$7:$C$186,$B15,Jumat!$A$7:$A$186,"&gt;="&amp;DATE(2026,12,21),Jumat!$A$7:$A$186,"&lt;="&amp;DATE(2026,12,27))</f>
        <v>0</v>
      </c>
      <c r="AB15" s="45">
        <f>SUMIFS(Senin!$H$7:$H$146,Senin!$C$7:$C$146,$B15,Senin!$A$7:$A$146,"&gt;="&amp;DATE(2026,12,28),Senin!$A$7:$A$146,"&lt;="&amp;DATE(2027,1,3))+SUMIFS(Selasa!$H$7:$H$166,Selasa!$C$7:$C$166,$B15,Selasa!$A$7:$A$166,"&gt;="&amp;DATE(2026,12,28),Selasa!$A$7:$A$166,"&lt;="&amp;DATE(2027,1,3))+SUMIFS(Rabu!$H$7:$H$206,Rabu!$C$7:$C$206,$B15,Rabu!$A$7:$A$206,"&gt;="&amp;DATE(2026,12,28),Rabu!$A$7:$A$206,"&lt;="&amp;DATE(2027,1,3))+SUMIFS(Kamis!$H$7:$H$186,Kamis!$C$7:$C$186,$B15,Kamis!$A$7:$A$186,"&gt;="&amp;DATE(2026,12,28),Kamis!$A$7:$A$186,"&lt;="&amp;DATE(2027,1,3))+SUMIFS(Jumat!$H$7:$H$186,Jumat!$C$7:$C$186,$B15,Jumat!$A$7:$A$186,"&gt;="&amp;DATE(2026,12,28),Jumat!$A$7:$A$186,"&lt;="&amp;DATE(2027,1,3))</f>
        <v>0</v>
      </c>
      <c r="AC15" s="45">
        <f>SUMIFS(Senin!$H$7:$H$146,Senin!$C$7:$C$146,$B15,Senin!$A$7:$A$146,"&gt;="&amp;DATE(2027,1,4),Senin!$A$7:$A$146,"&lt;="&amp;DATE(2027,1,10))+SUMIFS(Selasa!$H$7:$H$166,Selasa!$C$7:$C$166,$B15,Selasa!$A$7:$A$166,"&gt;="&amp;DATE(2027,1,4),Selasa!$A$7:$A$166,"&lt;="&amp;DATE(2027,1,10))+SUMIFS(Rabu!$H$7:$H$206,Rabu!$C$7:$C$206,$B15,Rabu!$A$7:$A$206,"&gt;="&amp;DATE(2027,1,4),Rabu!$A$7:$A$206,"&lt;="&amp;DATE(2027,1,10))+SUMIFS(Kamis!$H$7:$H$186,Kamis!$C$7:$C$186,$B15,Kamis!$A$7:$A$186,"&gt;="&amp;DATE(2027,1,4),Kamis!$A$7:$A$186,"&lt;="&amp;DATE(2027,1,10))+SUMIFS(Jumat!$H$7:$H$186,Jumat!$C$7:$C$186,$B15,Jumat!$A$7:$A$186,"&gt;="&amp;DATE(2027,1,4),Jumat!$A$7:$A$186,"&lt;="&amp;DATE(2027,1,10))</f>
        <v>0</v>
      </c>
      <c r="AD15" s="45">
        <f>SUMIFS(Senin!$H$7:$H$146,Senin!$C$7:$C$146,$B15,Senin!$A$7:$A$146,"&gt;="&amp;DATE(2027,1,11),Senin!$A$7:$A$146,"&lt;="&amp;DATE(2027,1,17))+SUMIFS(Selasa!$H$7:$H$166,Selasa!$C$7:$C$166,$B15,Selasa!$A$7:$A$166,"&gt;="&amp;DATE(2027,1,11),Selasa!$A$7:$A$166,"&lt;="&amp;DATE(2027,1,17))+SUMIFS(Rabu!$H$7:$H$206,Rabu!$C$7:$C$206,$B15,Rabu!$A$7:$A$206,"&gt;="&amp;DATE(2027,1,11),Rabu!$A$7:$A$206,"&lt;="&amp;DATE(2027,1,17))+SUMIFS(Kamis!$H$7:$H$186,Kamis!$C$7:$C$186,$B15,Kamis!$A$7:$A$186,"&gt;="&amp;DATE(2027,1,11),Kamis!$A$7:$A$186,"&lt;="&amp;DATE(2027,1,17))+SUMIFS(Jumat!$H$7:$H$186,Jumat!$C$7:$C$186,$B15,Jumat!$A$7:$A$186,"&gt;="&amp;DATE(2027,1,11),Jumat!$A$7:$A$186,"&lt;="&amp;DATE(2027,1,17))</f>
        <v>0</v>
      </c>
    </row>
    <row r="16" ht="14.25" customHeight="1">
      <c r="A16" s="27">
        <v>13.0</v>
      </c>
      <c r="B16" s="61" t="s">
        <v>41</v>
      </c>
      <c r="C16" s="41">
        <f>COUNTIFS(Senin!$C$7:$C$146,$B16,Senin!$G$7:$G$146,"Ya",Senin!$E$7:$E$146,"&lt;&gt;")+COUNTIFS(Selasa!$C$7:$C$166,$B16,Selasa!$G$7:$G$166,"Ya",Selasa!$E$7:$E$166,"&lt;&gt;")+COUNTIFS(Rabu!$C$7:$C$206,$B16,Rabu!$G$7:$G$206,"Ya",Rabu!$E$7:$E$206,"&lt;&gt;")+COUNTIFS(Kamis!$C$7:$C$186,$B16,Kamis!$G$7:$G$186,"Ya",Kamis!$E$7:$E$186,"&lt;&gt;")+COUNTIFS(Jumat!$C$7:$C$186,$B16,Jumat!$G$7:$G$186,"Ya",Jumat!$E$7:$E$186,"&lt;&gt;")</f>
        <v>0</v>
      </c>
      <c r="D16" s="41">
        <f>COUNTIFS(Senin!$C$7:$C$146,$B16,Senin!$G$7:$G$146,"Ya",Senin!$E$7:$E$146,"")+COUNTIFS(Selasa!$C$7:$C$166,$B16,Selasa!$G$7:$G$166,"Ya",Selasa!$E$7:$E$166,"")+COUNTIFS(Rabu!$C$7:$C$206,$B16,Rabu!$G$7:$G$206,"Ya",Rabu!$E$7:$E$206,"")+COUNTIFS(Kamis!$C$7:$C$186,$B16,Kamis!$G$7:$G$186,"Ya",Kamis!$E$7:$E$186,"")+COUNTIFS(Jumat!$C$7:$C$186,$B16,Jumat!$G$7:$G$186,"Ya",Jumat!$E$7:$E$186,"")</f>
        <v>0</v>
      </c>
      <c r="E16" s="45">
        <f>SUMIFS(Senin!$H$7:$H$146,Senin!$C$7:$C$146,$B16,Senin!$A$7:$A$146,"&gt;="&amp;DATE(2026,8,1),Senin!$A$7:$A$146,"&lt;="&amp;DATE(2026,12,31))+SUMIFS(Selasa!$H$7:$H$166,Selasa!$C$7:$C$166,$B16,Selasa!$A$7:$A$166,"&gt;="&amp;DATE(2026,8,1),Selasa!$A$7:$A$166,"&lt;="&amp;DATE(2026,12,31))+SUMIFS(Rabu!$H$7:$H$206,Rabu!$C$7:$C$206,$B16,Rabu!$A$7:$A$206,"&gt;="&amp;DATE(2026,8,1),Rabu!$A$7:$A$206,"&lt;="&amp;DATE(2026,12,31))+SUMIFS(Kamis!$H$7:$H$186,Kamis!$C$7:$C$186,$B16,Kamis!$A$7:$A$186,"&gt;="&amp;DATE(2026,8,1),Kamis!$A$7:$A$186,"&lt;="&amp;DATE(2026,12,31))+SUMIFS(Jumat!$H$7:$H$186,Jumat!$C$7:$C$186,$B16,Jumat!$A$7:$A$186,"&gt;="&amp;DATE(2026,8,1),Jumat!$A$7:$A$186,"&lt;="&amp;DATE(2026,12,31))</f>
        <v>0</v>
      </c>
      <c r="F16" s="45">
        <f>SUMIFS(Senin!$H$7:$H$146,Senin!$C$7:$C$146,$B16,Senin!$A$7:$A$146,"&gt;="&amp;DATE(2026,8,1),Senin!$A$7:$A$146,"&lt;="&amp;DATE(2026,8,31))+SUMIFS(Selasa!$H$7:$H$166,Selasa!$C$7:$C$166,$B16,Selasa!$A$7:$A$166,"&gt;="&amp;DATE(2026,8,1),Selasa!$A$7:$A$166,"&lt;="&amp;DATE(2026,8,31))+SUMIFS(Rabu!$H$7:$H$206,Rabu!$C$7:$C$206,$B16,Rabu!$A$7:$A$206,"&gt;="&amp;DATE(2026,8,1),Rabu!$A$7:$A$206,"&lt;="&amp;DATE(2026,8,31))+SUMIFS(Kamis!$H$7:$H$186,Kamis!$C$7:$C$186,$B16,Kamis!$A$7:$A$186,"&gt;="&amp;DATE(2026,8,1),Kamis!$A$7:$A$186,"&lt;="&amp;DATE(2026,8,31))+SUMIFS(Jumat!$H$7:$H$186,Jumat!$C$7:$C$186,$B16,Jumat!$A$7:$A$186,"&gt;="&amp;DATE(2026,8,1),Jumat!$A$7:$A$186,"&lt;="&amp;DATE(2026,8,31))</f>
        <v>0</v>
      </c>
      <c r="G16" s="45">
        <f>SUMIFS(Senin!$H$7:$H$146,Senin!$C$7:$C$146,$B16,Senin!$A$7:$A$146,"&gt;="&amp;DATE(2026,9,1),Senin!$A$7:$A$146,"&lt;="&amp;DATE(2026,9,30))+SUMIFS(Selasa!$H$7:$H$166,Selasa!$C$7:$C$166,$B16,Selasa!$A$7:$A$166,"&gt;="&amp;DATE(2026,9,1),Selasa!$A$7:$A$166,"&lt;="&amp;DATE(2026,9,30))+SUMIFS(Rabu!$H$7:$H$206,Rabu!$C$7:$C$206,$B16,Rabu!$A$7:$A$206,"&gt;="&amp;DATE(2026,9,1),Rabu!$A$7:$A$206,"&lt;="&amp;DATE(2026,9,30))+SUMIFS(Kamis!$H$7:$H$186,Kamis!$C$7:$C$186,$B16,Kamis!$A$7:$A$186,"&gt;="&amp;DATE(2026,9,1),Kamis!$A$7:$A$186,"&lt;="&amp;DATE(2026,9,30))+SUMIFS(Jumat!$H$7:$H$186,Jumat!$C$7:$C$186,$B16,Jumat!$A$7:$A$186,"&gt;="&amp;DATE(2026,9,1),Jumat!$A$7:$A$186,"&lt;="&amp;DATE(2026,9,30))</f>
        <v>0</v>
      </c>
      <c r="H16" s="45">
        <f>SUMIFS(Senin!$H$7:$H$146,Senin!$C$7:$C$146,$B16,Senin!$A$7:$A$146,"&gt;="&amp;DATE(2026,10,1),Senin!$A$7:$A$146,"&lt;="&amp;DATE(2026,10,31))+SUMIFS(Selasa!$H$7:$H$166,Selasa!$C$7:$C$166,$B16,Selasa!$A$7:$A$166,"&gt;="&amp;DATE(2026,10,1),Selasa!$A$7:$A$166,"&lt;="&amp;DATE(2026,10,31))+SUMIFS(Rabu!$H$7:$H$206,Rabu!$C$7:$C$206,$B16,Rabu!$A$7:$A$206,"&gt;="&amp;DATE(2026,10,1),Rabu!$A$7:$A$206,"&lt;="&amp;DATE(2026,10,31))+SUMIFS(Kamis!$H$7:$H$186,Kamis!$C$7:$C$186,$B16,Kamis!$A$7:$A$186,"&gt;="&amp;DATE(2026,10,1),Kamis!$A$7:$A$186,"&lt;="&amp;DATE(2026,10,31))+SUMIFS(Jumat!$H$7:$H$186,Jumat!$C$7:$C$186,$B16,Jumat!$A$7:$A$186,"&gt;="&amp;DATE(2026,10,1),Jumat!$A$7:$A$186,"&lt;="&amp;DATE(2026,10,31))</f>
        <v>0</v>
      </c>
      <c r="I16" s="45">
        <f>SUMIFS(Senin!$H$7:$H$146,Senin!$C$7:$C$146,$B16,Senin!$A$7:$A$146,"&gt;="&amp;DATE(2026,11,1),Senin!$A$7:$A$146,"&lt;="&amp;DATE(2026,11,30))+SUMIFS(Selasa!$H$7:$H$166,Selasa!$C$7:$C$166,$B16,Selasa!$A$7:$A$166,"&gt;="&amp;DATE(2026,11,1),Selasa!$A$7:$A$166,"&lt;="&amp;DATE(2026,11,30))+SUMIFS(Rabu!$H$7:$H$206,Rabu!$C$7:$C$206,$B16,Rabu!$A$7:$A$206,"&gt;="&amp;DATE(2026,11,1),Rabu!$A$7:$A$206,"&lt;="&amp;DATE(2026,11,30))+SUMIFS(Kamis!$H$7:$H$186,Kamis!$C$7:$C$186,$B16,Kamis!$A$7:$A$186,"&gt;="&amp;DATE(2026,11,1),Kamis!$A$7:$A$186,"&lt;="&amp;DATE(2026,11,30))+SUMIFS(Jumat!$H$7:$H$186,Jumat!$C$7:$C$186,$B16,Jumat!$A$7:$A$186,"&gt;="&amp;DATE(2026,11,1),Jumat!$A$7:$A$186,"&lt;="&amp;DATE(2026,11,30))</f>
        <v>0</v>
      </c>
      <c r="J16" s="45">
        <f>SUMIFS(Senin!$H$7:$H$146,Senin!$C$7:$C$146,$B16,Senin!$A$7:$A$146,"&gt;="&amp;DATE(2026,12,1),Senin!$A$7:$A$146,"&lt;="&amp;DATE(2026,12,31))+SUMIFS(Selasa!$H$7:$H$166,Selasa!$C$7:$C$166,$B16,Selasa!$A$7:$A$166,"&gt;="&amp;DATE(2026,12,1),Selasa!$A$7:$A$166,"&lt;="&amp;DATE(2026,12,31))+SUMIFS(Rabu!$H$7:$H$206,Rabu!$C$7:$C$206,$B16,Rabu!$A$7:$A$206,"&gt;="&amp;DATE(2026,12,1),Rabu!$A$7:$A$206,"&lt;="&amp;DATE(2026,12,31))+SUMIFS(Kamis!$H$7:$H$186,Kamis!$C$7:$C$186,$B16,Kamis!$A$7:$A$186,"&gt;="&amp;DATE(2026,12,1),Kamis!$A$7:$A$186,"&lt;="&amp;DATE(2026,12,31))+SUMIFS(Jumat!$H$7:$H$186,Jumat!$C$7:$C$186,$B16,Jumat!$A$7:$A$186,"&gt;="&amp;DATE(2026,12,1),Jumat!$A$7:$A$186,"&lt;="&amp;DATE(2026,12,31))</f>
        <v>0</v>
      </c>
      <c r="K16" s="45">
        <f>SUMIFS(Senin!$H$7:$H$146,Senin!$C$7:$C$146,$B16,Senin!$A$7:$A$146,"&gt;="&amp;DATE(2026,8,31),Senin!$A$7:$A$146,"&lt;="&amp;DATE(2026,9,6))+SUMIFS(Selasa!$H$7:$H$166,Selasa!$C$7:$C$166,$B16,Selasa!$A$7:$A$166,"&gt;="&amp;DATE(2026,8,31),Selasa!$A$7:$A$166,"&lt;="&amp;DATE(2026,9,6))+SUMIFS(Rabu!$H$7:$H$206,Rabu!$C$7:$C$206,$B16,Rabu!$A$7:$A$206,"&gt;="&amp;DATE(2026,8,31),Rabu!$A$7:$A$206,"&lt;="&amp;DATE(2026,9,6))+SUMIFS(Kamis!$H$7:$H$186,Kamis!$C$7:$C$186,$B16,Kamis!$A$7:$A$186,"&gt;="&amp;DATE(2026,8,31),Kamis!$A$7:$A$186,"&lt;="&amp;DATE(2026,9,6))+SUMIFS(Jumat!$H$7:$H$186,Jumat!$C$7:$C$186,$B16,Jumat!$A$7:$A$186,"&gt;="&amp;DATE(2026,8,31),Jumat!$A$7:$A$186,"&lt;="&amp;DATE(2026,9,6))</f>
        <v>0</v>
      </c>
      <c r="L16" s="45">
        <f>SUMIFS(Senin!$H$7:$H$146,Senin!$C$7:$C$146,$B16,Senin!$A$7:$A$146,"&gt;="&amp;DATE(2026,9,7),Senin!$A$7:$A$146,"&lt;="&amp;DATE(2026,9,13))+SUMIFS(Selasa!$H$7:$H$166,Selasa!$C$7:$C$166,$B16,Selasa!$A$7:$A$166,"&gt;="&amp;DATE(2026,9,7),Selasa!$A$7:$A$166,"&lt;="&amp;DATE(2026,9,13))+SUMIFS(Rabu!$H$7:$H$206,Rabu!$C$7:$C$206,$B16,Rabu!$A$7:$A$206,"&gt;="&amp;DATE(2026,9,7),Rabu!$A$7:$A$206,"&lt;="&amp;DATE(2026,9,13))+SUMIFS(Kamis!$H$7:$H$186,Kamis!$C$7:$C$186,$B16,Kamis!$A$7:$A$186,"&gt;="&amp;DATE(2026,9,7),Kamis!$A$7:$A$186,"&lt;="&amp;DATE(2026,9,13))+SUMIFS(Jumat!$H$7:$H$186,Jumat!$C$7:$C$186,$B16,Jumat!$A$7:$A$186,"&gt;="&amp;DATE(2026,9,7),Jumat!$A$7:$A$186,"&lt;="&amp;DATE(2026,9,13))</f>
        <v>0</v>
      </c>
      <c r="M16" s="45">
        <f>SUMIFS(Senin!$H$7:$H$146,Senin!$C$7:$C$146,$B16,Senin!$A$7:$A$146,"&gt;="&amp;DATE(2026,9,14),Senin!$A$7:$A$146,"&lt;="&amp;DATE(2026,9,20))+SUMIFS(Selasa!$H$7:$H$166,Selasa!$C$7:$C$166,$B16,Selasa!$A$7:$A$166,"&gt;="&amp;DATE(2026,9,14),Selasa!$A$7:$A$166,"&lt;="&amp;DATE(2026,9,20))+SUMIFS(Rabu!$H$7:$H$206,Rabu!$C$7:$C$206,$B16,Rabu!$A$7:$A$206,"&gt;="&amp;DATE(2026,9,14),Rabu!$A$7:$A$206,"&lt;="&amp;DATE(2026,9,20))+SUMIFS(Kamis!$H$7:$H$186,Kamis!$C$7:$C$186,$B16,Kamis!$A$7:$A$186,"&gt;="&amp;DATE(2026,9,14),Kamis!$A$7:$A$186,"&lt;="&amp;DATE(2026,9,20))+SUMIFS(Jumat!$H$7:$H$186,Jumat!$C$7:$C$186,$B16,Jumat!$A$7:$A$186,"&gt;="&amp;DATE(2026,9,14),Jumat!$A$7:$A$186,"&lt;="&amp;DATE(2026,9,20))</f>
        <v>0</v>
      </c>
      <c r="N16" s="45">
        <f>SUMIFS(Senin!$H$7:$H$146,Senin!$C$7:$C$146,$B16,Senin!$A$7:$A$146,"&gt;="&amp;DATE(2026,9,21),Senin!$A$7:$A$146,"&lt;="&amp;DATE(2026,9,27))+SUMIFS(Selasa!$H$7:$H$166,Selasa!$C$7:$C$166,$B16,Selasa!$A$7:$A$166,"&gt;="&amp;DATE(2026,9,21),Selasa!$A$7:$A$166,"&lt;="&amp;DATE(2026,9,27))+SUMIFS(Rabu!$H$7:$H$206,Rabu!$C$7:$C$206,$B16,Rabu!$A$7:$A$206,"&gt;="&amp;DATE(2026,9,21),Rabu!$A$7:$A$206,"&lt;="&amp;DATE(2026,9,27))+SUMIFS(Kamis!$H$7:$H$186,Kamis!$C$7:$C$186,$B16,Kamis!$A$7:$A$186,"&gt;="&amp;DATE(2026,9,21),Kamis!$A$7:$A$186,"&lt;="&amp;DATE(2026,9,27))+SUMIFS(Jumat!$H$7:$H$186,Jumat!$C$7:$C$186,$B16,Jumat!$A$7:$A$186,"&gt;="&amp;DATE(2026,9,21),Jumat!$A$7:$A$186,"&lt;="&amp;DATE(2026,9,27))</f>
        <v>0</v>
      </c>
      <c r="O16" s="45">
        <f>SUMIFS(Senin!$H$7:$H$146,Senin!$C$7:$C$146,$B16,Senin!$A$7:$A$146,"&gt;="&amp;DATE(2026,9,28),Senin!$A$7:$A$146,"&lt;="&amp;DATE(2026,10,4))+SUMIFS(Selasa!$H$7:$H$166,Selasa!$C$7:$C$166,$B16,Selasa!$A$7:$A$166,"&gt;="&amp;DATE(2026,9,28),Selasa!$A$7:$A$166,"&lt;="&amp;DATE(2026,10,4))+SUMIFS(Rabu!$H$7:$H$206,Rabu!$C$7:$C$206,$B16,Rabu!$A$7:$A$206,"&gt;="&amp;DATE(2026,9,28),Rabu!$A$7:$A$206,"&lt;="&amp;DATE(2026,10,4))+SUMIFS(Kamis!$H$7:$H$186,Kamis!$C$7:$C$186,$B16,Kamis!$A$7:$A$186,"&gt;="&amp;DATE(2026,9,28),Kamis!$A$7:$A$186,"&lt;="&amp;DATE(2026,10,4))+SUMIFS(Jumat!$H$7:$H$186,Jumat!$C$7:$C$186,$B16,Jumat!$A$7:$A$186,"&gt;="&amp;DATE(2026,9,28),Jumat!$A$7:$A$186,"&lt;="&amp;DATE(2026,10,4))</f>
        <v>0</v>
      </c>
      <c r="P16" s="45">
        <f>SUMIFS(Senin!$H$7:$H$146,Senin!$C$7:$C$146,$B16,Senin!$A$7:$A$146,"&gt;="&amp;DATE(2026,10,5),Senin!$A$7:$A$146,"&lt;="&amp;DATE(2026,10,11))+SUMIFS(Selasa!$H$7:$H$166,Selasa!$C$7:$C$166,$B16,Selasa!$A$7:$A$166,"&gt;="&amp;DATE(2026,10,5),Selasa!$A$7:$A$166,"&lt;="&amp;DATE(2026,10,11))+SUMIFS(Rabu!$H$7:$H$206,Rabu!$C$7:$C$206,$B16,Rabu!$A$7:$A$206,"&gt;="&amp;DATE(2026,10,5),Rabu!$A$7:$A$206,"&lt;="&amp;DATE(2026,10,11))+SUMIFS(Kamis!$H$7:$H$186,Kamis!$C$7:$C$186,$B16,Kamis!$A$7:$A$186,"&gt;="&amp;DATE(2026,10,5),Kamis!$A$7:$A$186,"&lt;="&amp;DATE(2026,10,11))+SUMIFS(Jumat!$H$7:$H$186,Jumat!$C$7:$C$186,$B16,Jumat!$A$7:$A$186,"&gt;="&amp;DATE(2026,10,5),Jumat!$A$7:$A$186,"&lt;="&amp;DATE(2026,10,11))</f>
        <v>0</v>
      </c>
      <c r="Q16" s="45">
        <f>SUMIFS(Senin!$H$7:$H$146,Senin!$C$7:$C$146,$B16,Senin!$A$7:$A$146,"&gt;="&amp;DATE(2026,10,12),Senin!$A$7:$A$146,"&lt;="&amp;DATE(2026,10,18))+SUMIFS(Selasa!$H$7:$H$166,Selasa!$C$7:$C$166,$B16,Selasa!$A$7:$A$166,"&gt;="&amp;DATE(2026,10,12),Selasa!$A$7:$A$166,"&lt;="&amp;DATE(2026,10,18))+SUMIFS(Rabu!$H$7:$H$206,Rabu!$C$7:$C$206,$B16,Rabu!$A$7:$A$206,"&gt;="&amp;DATE(2026,10,12),Rabu!$A$7:$A$206,"&lt;="&amp;DATE(2026,10,18))+SUMIFS(Kamis!$H$7:$H$186,Kamis!$C$7:$C$186,$B16,Kamis!$A$7:$A$186,"&gt;="&amp;DATE(2026,10,12),Kamis!$A$7:$A$186,"&lt;="&amp;DATE(2026,10,18))+SUMIFS(Jumat!$H$7:$H$186,Jumat!$C$7:$C$186,$B16,Jumat!$A$7:$A$186,"&gt;="&amp;DATE(2026,10,12),Jumat!$A$7:$A$186,"&lt;="&amp;DATE(2026,10,18))</f>
        <v>0</v>
      </c>
      <c r="R16" s="45">
        <f>SUMIFS(Senin!$H$7:$H$146,Senin!$C$7:$C$146,$B16,Senin!$A$7:$A$146,"&gt;="&amp;DATE(2026,10,19),Senin!$A$7:$A$146,"&lt;="&amp;DATE(2026,10,25))+SUMIFS(Selasa!$H$7:$H$166,Selasa!$C$7:$C$166,$B16,Selasa!$A$7:$A$166,"&gt;="&amp;DATE(2026,10,19),Selasa!$A$7:$A$166,"&lt;="&amp;DATE(2026,10,25))+SUMIFS(Rabu!$H$7:$H$206,Rabu!$C$7:$C$206,$B16,Rabu!$A$7:$A$206,"&gt;="&amp;DATE(2026,10,19),Rabu!$A$7:$A$206,"&lt;="&amp;DATE(2026,10,25))+SUMIFS(Kamis!$H$7:$H$186,Kamis!$C$7:$C$186,$B16,Kamis!$A$7:$A$186,"&gt;="&amp;DATE(2026,10,19),Kamis!$A$7:$A$186,"&lt;="&amp;DATE(2026,10,25))+SUMIFS(Jumat!$H$7:$H$186,Jumat!$C$7:$C$186,$B16,Jumat!$A$7:$A$186,"&gt;="&amp;DATE(2026,10,19),Jumat!$A$7:$A$186,"&lt;="&amp;DATE(2026,10,25))</f>
        <v>0</v>
      </c>
      <c r="S16" s="45">
        <f>SUMIFS(Senin!$H$7:$H$146,Senin!$C$7:$C$146,$B16,Senin!$A$7:$A$146,"&gt;="&amp;DATE(2026,10,26),Senin!$A$7:$A$146,"&lt;="&amp;DATE(2026,11,1))+SUMIFS(Selasa!$H$7:$H$166,Selasa!$C$7:$C$166,$B16,Selasa!$A$7:$A$166,"&gt;="&amp;DATE(2026,10,26),Selasa!$A$7:$A$166,"&lt;="&amp;DATE(2026,11,1))+SUMIFS(Rabu!$H$7:$H$206,Rabu!$C$7:$C$206,$B16,Rabu!$A$7:$A$206,"&gt;="&amp;DATE(2026,10,26),Rabu!$A$7:$A$206,"&lt;="&amp;DATE(2026,11,1))+SUMIFS(Kamis!$H$7:$H$186,Kamis!$C$7:$C$186,$B16,Kamis!$A$7:$A$186,"&gt;="&amp;DATE(2026,10,26),Kamis!$A$7:$A$186,"&lt;="&amp;DATE(2026,11,1))+SUMIFS(Jumat!$H$7:$H$186,Jumat!$C$7:$C$186,$B16,Jumat!$A$7:$A$186,"&gt;="&amp;DATE(2026,10,26),Jumat!$A$7:$A$186,"&lt;="&amp;DATE(2026,11,1))</f>
        <v>0</v>
      </c>
      <c r="T16" s="45">
        <f>SUMIFS(Senin!$H$7:$H$146,Senin!$C$7:$C$146,$B16,Senin!$A$7:$A$146,"&gt;="&amp;DATE(2026,11,2),Senin!$A$7:$A$146,"&lt;="&amp;DATE(2026,11,8))+SUMIFS(Selasa!$H$7:$H$166,Selasa!$C$7:$C$166,$B16,Selasa!$A$7:$A$166,"&gt;="&amp;DATE(2026,11,2),Selasa!$A$7:$A$166,"&lt;="&amp;DATE(2026,11,8))+SUMIFS(Rabu!$H$7:$H$206,Rabu!$C$7:$C$206,$B16,Rabu!$A$7:$A$206,"&gt;="&amp;DATE(2026,11,2),Rabu!$A$7:$A$206,"&lt;="&amp;DATE(2026,11,8))+SUMIFS(Kamis!$H$7:$H$186,Kamis!$C$7:$C$186,$B16,Kamis!$A$7:$A$186,"&gt;="&amp;DATE(2026,11,2),Kamis!$A$7:$A$186,"&lt;="&amp;DATE(2026,11,8))+SUMIFS(Jumat!$H$7:$H$186,Jumat!$C$7:$C$186,$B16,Jumat!$A$7:$A$186,"&gt;="&amp;DATE(2026,11,2),Jumat!$A$7:$A$186,"&lt;="&amp;DATE(2026,11,8))</f>
        <v>0</v>
      </c>
      <c r="U16" s="45">
        <f>SUMIFS(Senin!$H$7:$H$146,Senin!$C$7:$C$146,$B16,Senin!$A$7:$A$146,"&gt;="&amp;DATE(2026,11,9),Senin!$A$7:$A$146,"&lt;="&amp;DATE(2026,11,15))+SUMIFS(Selasa!$H$7:$H$166,Selasa!$C$7:$C$166,$B16,Selasa!$A$7:$A$166,"&gt;="&amp;DATE(2026,11,9),Selasa!$A$7:$A$166,"&lt;="&amp;DATE(2026,11,15))+SUMIFS(Rabu!$H$7:$H$206,Rabu!$C$7:$C$206,$B16,Rabu!$A$7:$A$206,"&gt;="&amp;DATE(2026,11,9),Rabu!$A$7:$A$206,"&lt;="&amp;DATE(2026,11,15))+SUMIFS(Kamis!$H$7:$H$186,Kamis!$C$7:$C$186,$B16,Kamis!$A$7:$A$186,"&gt;="&amp;DATE(2026,11,9),Kamis!$A$7:$A$186,"&lt;="&amp;DATE(2026,11,15))+SUMIFS(Jumat!$H$7:$H$186,Jumat!$C$7:$C$186,$B16,Jumat!$A$7:$A$186,"&gt;="&amp;DATE(2026,11,9),Jumat!$A$7:$A$186,"&lt;="&amp;DATE(2026,11,15))</f>
        <v>0</v>
      </c>
      <c r="V16" s="45">
        <f>SUMIFS(Senin!$H$7:$H$146,Senin!$C$7:$C$146,$B16,Senin!$A$7:$A$146,"&gt;="&amp;DATE(2026,11,16),Senin!$A$7:$A$146,"&lt;="&amp;DATE(2026,11,22))+SUMIFS(Selasa!$H$7:$H$166,Selasa!$C$7:$C$166,$B16,Selasa!$A$7:$A$166,"&gt;="&amp;DATE(2026,11,16),Selasa!$A$7:$A$166,"&lt;="&amp;DATE(2026,11,22))+SUMIFS(Rabu!$H$7:$H$206,Rabu!$C$7:$C$206,$B16,Rabu!$A$7:$A$206,"&gt;="&amp;DATE(2026,11,16),Rabu!$A$7:$A$206,"&lt;="&amp;DATE(2026,11,22))+SUMIFS(Kamis!$H$7:$H$186,Kamis!$C$7:$C$186,$B16,Kamis!$A$7:$A$186,"&gt;="&amp;DATE(2026,11,16),Kamis!$A$7:$A$186,"&lt;="&amp;DATE(2026,11,22))+SUMIFS(Jumat!$H$7:$H$186,Jumat!$C$7:$C$186,$B16,Jumat!$A$7:$A$186,"&gt;="&amp;DATE(2026,11,16),Jumat!$A$7:$A$186,"&lt;="&amp;DATE(2026,11,22))</f>
        <v>0</v>
      </c>
      <c r="W16" s="45">
        <f>SUMIFS(Senin!$H$7:$H$146,Senin!$C$7:$C$146,$B16,Senin!$A$7:$A$146,"&gt;="&amp;DATE(2026,11,23),Senin!$A$7:$A$146,"&lt;="&amp;DATE(2026,11,29))+SUMIFS(Selasa!$H$7:$H$166,Selasa!$C$7:$C$166,$B16,Selasa!$A$7:$A$166,"&gt;="&amp;DATE(2026,11,23),Selasa!$A$7:$A$166,"&lt;="&amp;DATE(2026,11,29))+SUMIFS(Rabu!$H$7:$H$206,Rabu!$C$7:$C$206,$B16,Rabu!$A$7:$A$206,"&gt;="&amp;DATE(2026,11,23),Rabu!$A$7:$A$206,"&lt;="&amp;DATE(2026,11,29))+SUMIFS(Kamis!$H$7:$H$186,Kamis!$C$7:$C$186,$B16,Kamis!$A$7:$A$186,"&gt;="&amp;DATE(2026,11,23),Kamis!$A$7:$A$186,"&lt;="&amp;DATE(2026,11,29))+SUMIFS(Jumat!$H$7:$H$186,Jumat!$C$7:$C$186,$B16,Jumat!$A$7:$A$186,"&gt;="&amp;DATE(2026,11,23),Jumat!$A$7:$A$186,"&lt;="&amp;DATE(2026,11,29))</f>
        <v>0</v>
      </c>
      <c r="X16" s="45">
        <f>SUMIFS(Senin!$H$7:$H$146,Senin!$C$7:$C$146,$B16,Senin!$A$7:$A$146,"&gt;="&amp;DATE(2026,11,30),Senin!$A$7:$A$146,"&lt;="&amp;DATE(2026,12,6))+SUMIFS(Selasa!$H$7:$H$166,Selasa!$C$7:$C$166,$B16,Selasa!$A$7:$A$166,"&gt;="&amp;DATE(2026,11,30),Selasa!$A$7:$A$166,"&lt;="&amp;DATE(2026,12,6))+SUMIFS(Rabu!$H$7:$H$206,Rabu!$C$7:$C$206,$B16,Rabu!$A$7:$A$206,"&gt;="&amp;DATE(2026,11,30),Rabu!$A$7:$A$206,"&lt;="&amp;DATE(2026,12,6))+SUMIFS(Kamis!$H$7:$H$186,Kamis!$C$7:$C$186,$B16,Kamis!$A$7:$A$186,"&gt;="&amp;DATE(2026,11,30),Kamis!$A$7:$A$186,"&lt;="&amp;DATE(2026,12,6))+SUMIFS(Jumat!$H$7:$H$186,Jumat!$C$7:$C$186,$B16,Jumat!$A$7:$A$186,"&gt;="&amp;DATE(2026,11,30),Jumat!$A$7:$A$186,"&lt;="&amp;DATE(2026,12,6))</f>
        <v>0</v>
      </c>
      <c r="Y16" s="45">
        <f>SUMIFS(Senin!$H$7:$H$146,Senin!$C$7:$C$146,$B16,Senin!$A$7:$A$146,"&gt;="&amp;DATE(2026,12,7),Senin!$A$7:$A$146,"&lt;="&amp;DATE(2026,12,13))+SUMIFS(Selasa!$H$7:$H$166,Selasa!$C$7:$C$166,$B16,Selasa!$A$7:$A$166,"&gt;="&amp;DATE(2026,12,7),Selasa!$A$7:$A$166,"&lt;="&amp;DATE(2026,12,13))+SUMIFS(Rabu!$H$7:$H$206,Rabu!$C$7:$C$206,$B16,Rabu!$A$7:$A$206,"&gt;="&amp;DATE(2026,12,7),Rabu!$A$7:$A$206,"&lt;="&amp;DATE(2026,12,13))+SUMIFS(Kamis!$H$7:$H$186,Kamis!$C$7:$C$186,$B16,Kamis!$A$7:$A$186,"&gt;="&amp;DATE(2026,12,7),Kamis!$A$7:$A$186,"&lt;="&amp;DATE(2026,12,13))+SUMIFS(Jumat!$H$7:$H$186,Jumat!$C$7:$C$186,$B16,Jumat!$A$7:$A$186,"&gt;="&amp;DATE(2026,12,7),Jumat!$A$7:$A$186,"&lt;="&amp;DATE(2026,12,13))</f>
        <v>0</v>
      </c>
      <c r="Z16" s="45">
        <f>SUMIFS(Senin!$H$7:$H$146,Senin!$C$7:$C$146,$B16,Senin!$A$7:$A$146,"&gt;="&amp;DATE(2026,12,14),Senin!$A$7:$A$146,"&lt;="&amp;DATE(2026,12,20))+SUMIFS(Selasa!$H$7:$H$166,Selasa!$C$7:$C$166,$B16,Selasa!$A$7:$A$166,"&gt;="&amp;DATE(2026,12,14),Selasa!$A$7:$A$166,"&lt;="&amp;DATE(2026,12,20))+SUMIFS(Rabu!$H$7:$H$206,Rabu!$C$7:$C$206,$B16,Rabu!$A$7:$A$206,"&gt;="&amp;DATE(2026,12,14),Rabu!$A$7:$A$206,"&lt;="&amp;DATE(2026,12,20))+SUMIFS(Kamis!$H$7:$H$186,Kamis!$C$7:$C$186,$B16,Kamis!$A$7:$A$186,"&gt;="&amp;DATE(2026,12,14),Kamis!$A$7:$A$186,"&lt;="&amp;DATE(2026,12,20))+SUMIFS(Jumat!$H$7:$H$186,Jumat!$C$7:$C$186,$B16,Jumat!$A$7:$A$186,"&gt;="&amp;DATE(2026,12,14),Jumat!$A$7:$A$186,"&lt;="&amp;DATE(2026,12,20))</f>
        <v>0</v>
      </c>
      <c r="AA16" s="45">
        <f>SUMIFS(Senin!$H$7:$H$146,Senin!$C$7:$C$146,$B16,Senin!$A$7:$A$146,"&gt;="&amp;DATE(2026,12,21),Senin!$A$7:$A$146,"&lt;="&amp;DATE(2026,12,27))+SUMIFS(Selasa!$H$7:$H$166,Selasa!$C$7:$C$166,$B16,Selasa!$A$7:$A$166,"&gt;="&amp;DATE(2026,12,21),Selasa!$A$7:$A$166,"&lt;="&amp;DATE(2026,12,27))+SUMIFS(Rabu!$H$7:$H$206,Rabu!$C$7:$C$206,$B16,Rabu!$A$7:$A$206,"&gt;="&amp;DATE(2026,12,21),Rabu!$A$7:$A$206,"&lt;="&amp;DATE(2026,12,27))+SUMIFS(Kamis!$H$7:$H$186,Kamis!$C$7:$C$186,$B16,Kamis!$A$7:$A$186,"&gt;="&amp;DATE(2026,12,21),Kamis!$A$7:$A$186,"&lt;="&amp;DATE(2026,12,27))+SUMIFS(Jumat!$H$7:$H$186,Jumat!$C$7:$C$186,$B16,Jumat!$A$7:$A$186,"&gt;="&amp;DATE(2026,12,21),Jumat!$A$7:$A$186,"&lt;="&amp;DATE(2026,12,27))</f>
        <v>0</v>
      </c>
      <c r="AB16" s="45">
        <f>SUMIFS(Senin!$H$7:$H$146,Senin!$C$7:$C$146,$B16,Senin!$A$7:$A$146,"&gt;="&amp;DATE(2026,12,28),Senin!$A$7:$A$146,"&lt;="&amp;DATE(2027,1,3))+SUMIFS(Selasa!$H$7:$H$166,Selasa!$C$7:$C$166,$B16,Selasa!$A$7:$A$166,"&gt;="&amp;DATE(2026,12,28),Selasa!$A$7:$A$166,"&lt;="&amp;DATE(2027,1,3))+SUMIFS(Rabu!$H$7:$H$206,Rabu!$C$7:$C$206,$B16,Rabu!$A$7:$A$206,"&gt;="&amp;DATE(2026,12,28),Rabu!$A$7:$A$206,"&lt;="&amp;DATE(2027,1,3))+SUMIFS(Kamis!$H$7:$H$186,Kamis!$C$7:$C$186,$B16,Kamis!$A$7:$A$186,"&gt;="&amp;DATE(2026,12,28),Kamis!$A$7:$A$186,"&lt;="&amp;DATE(2027,1,3))+SUMIFS(Jumat!$H$7:$H$186,Jumat!$C$7:$C$186,$B16,Jumat!$A$7:$A$186,"&gt;="&amp;DATE(2026,12,28),Jumat!$A$7:$A$186,"&lt;="&amp;DATE(2027,1,3))</f>
        <v>0</v>
      </c>
      <c r="AC16" s="45">
        <f>SUMIFS(Senin!$H$7:$H$146,Senin!$C$7:$C$146,$B16,Senin!$A$7:$A$146,"&gt;="&amp;DATE(2027,1,4),Senin!$A$7:$A$146,"&lt;="&amp;DATE(2027,1,10))+SUMIFS(Selasa!$H$7:$H$166,Selasa!$C$7:$C$166,$B16,Selasa!$A$7:$A$166,"&gt;="&amp;DATE(2027,1,4),Selasa!$A$7:$A$166,"&lt;="&amp;DATE(2027,1,10))+SUMIFS(Rabu!$H$7:$H$206,Rabu!$C$7:$C$206,$B16,Rabu!$A$7:$A$206,"&gt;="&amp;DATE(2027,1,4),Rabu!$A$7:$A$206,"&lt;="&amp;DATE(2027,1,10))+SUMIFS(Kamis!$H$7:$H$186,Kamis!$C$7:$C$186,$B16,Kamis!$A$7:$A$186,"&gt;="&amp;DATE(2027,1,4),Kamis!$A$7:$A$186,"&lt;="&amp;DATE(2027,1,10))+SUMIFS(Jumat!$H$7:$H$186,Jumat!$C$7:$C$186,$B16,Jumat!$A$7:$A$186,"&gt;="&amp;DATE(2027,1,4),Jumat!$A$7:$A$186,"&lt;="&amp;DATE(2027,1,10))</f>
        <v>0</v>
      </c>
      <c r="AD16" s="45">
        <f>SUMIFS(Senin!$H$7:$H$146,Senin!$C$7:$C$146,$B16,Senin!$A$7:$A$146,"&gt;="&amp;DATE(2027,1,11),Senin!$A$7:$A$146,"&lt;="&amp;DATE(2027,1,17))+SUMIFS(Selasa!$H$7:$H$166,Selasa!$C$7:$C$166,$B16,Selasa!$A$7:$A$166,"&gt;="&amp;DATE(2027,1,11),Selasa!$A$7:$A$166,"&lt;="&amp;DATE(2027,1,17))+SUMIFS(Rabu!$H$7:$H$206,Rabu!$C$7:$C$206,$B16,Rabu!$A$7:$A$206,"&gt;="&amp;DATE(2027,1,11),Rabu!$A$7:$A$206,"&lt;="&amp;DATE(2027,1,17))+SUMIFS(Kamis!$H$7:$H$186,Kamis!$C$7:$C$186,$B16,Kamis!$A$7:$A$186,"&gt;="&amp;DATE(2027,1,11),Kamis!$A$7:$A$186,"&lt;="&amp;DATE(2027,1,17))+SUMIFS(Jumat!$H$7:$H$186,Jumat!$C$7:$C$186,$B16,Jumat!$A$7:$A$186,"&gt;="&amp;DATE(2027,1,11),Jumat!$A$7:$A$186,"&lt;="&amp;DATE(2027,1,17))</f>
        <v>0</v>
      </c>
    </row>
    <row r="17" ht="14.25" customHeight="1">
      <c r="A17" s="27">
        <v>14.0</v>
      </c>
      <c r="B17" s="61" t="s">
        <v>53</v>
      </c>
      <c r="C17" s="41">
        <f>COUNTIFS(Senin!$C$7:$C$146,$B17,Senin!$G$7:$G$146,"Ya",Senin!$E$7:$E$146,"&lt;&gt;")+COUNTIFS(Selasa!$C$7:$C$166,$B17,Selasa!$G$7:$G$166,"Ya",Selasa!$E$7:$E$166,"&lt;&gt;")+COUNTIFS(Rabu!$C$7:$C$206,$B17,Rabu!$G$7:$G$206,"Ya",Rabu!$E$7:$E$206,"&lt;&gt;")+COUNTIFS(Kamis!$C$7:$C$186,$B17,Kamis!$G$7:$G$186,"Ya",Kamis!$E$7:$E$186,"&lt;&gt;")+COUNTIFS(Jumat!$C$7:$C$186,$B17,Jumat!$G$7:$G$186,"Ya",Jumat!$E$7:$E$186,"&lt;&gt;")</f>
        <v>0</v>
      </c>
      <c r="D17" s="41">
        <f>COUNTIFS(Senin!$C$7:$C$146,$B17,Senin!$G$7:$G$146,"Ya",Senin!$E$7:$E$146,"")+COUNTIFS(Selasa!$C$7:$C$166,$B17,Selasa!$G$7:$G$166,"Ya",Selasa!$E$7:$E$166,"")+COUNTIFS(Rabu!$C$7:$C$206,$B17,Rabu!$G$7:$G$206,"Ya",Rabu!$E$7:$E$206,"")+COUNTIFS(Kamis!$C$7:$C$186,$B17,Kamis!$G$7:$G$186,"Ya",Kamis!$E$7:$E$186,"")+COUNTIFS(Jumat!$C$7:$C$186,$B17,Jumat!$G$7:$G$186,"Ya",Jumat!$E$7:$E$186,"")</f>
        <v>0</v>
      </c>
      <c r="E17" s="45">
        <f>SUMIFS(Senin!$H$7:$H$146,Senin!$C$7:$C$146,$B17,Senin!$A$7:$A$146,"&gt;="&amp;DATE(2026,8,1),Senin!$A$7:$A$146,"&lt;="&amp;DATE(2026,12,31))+SUMIFS(Selasa!$H$7:$H$166,Selasa!$C$7:$C$166,$B17,Selasa!$A$7:$A$166,"&gt;="&amp;DATE(2026,8,1),Selasa!$A$7:$A$166,"&lt;="&amp;DATE(2026,12,31))+SUMIFS(Rabu!$H$7:$H$206,Rabu!$C$7:$C$206,$B17,Rabu!$A$7:$A$206,"&gt;="&amp;DATE(2026,8,1),Rabu!$A$7:$A$206,"&lt;="&amp;DATE(2026,12,31))+SUMIFS(Kamis!$H$7:$H$186,Kamis!$C$7:$C$186,$B17,Kamis!$A$7:$A$186,"&gt;="&amp;DATE(2026,8,1),Kamis!$A$7:$A$186,"&lt;="&amp;DATE(2026,12,31))+SUMIFS(Jumat!$H$7:$H$186,Jumat!$C$7:$C$186,$B17,Jumat!$A$7:$A$186,"&gt;="&amp;DATE(2026,8,1),Jumat!$A$7:$A$186,"&lt;="&amp;DATE(2026,12,31))</f>
        <v>0</v>
      </c>
      <c r="F17" s="45">
        <f>SUMIFS(Senin!$H$7:$H$146,Senin!$C$7:$C$146,$B17,Senin!$A$7:$A$146,"&gt;="&amp;DATE(2026,8,1),Senin!$A$7:$A$146,"&lt;="&amp;DATE(2026,8,31))+SUMIFS(Selasa!$H$7:$H$166,Selasa!$C$7:$C$166,$B17,Selasa!$A$7:$A$166,"&gt;="&amp;DATE(2026,8,1),Selasa!$A$7:$A$166,"&lt;="&amp;DATE(2026,8,31))+SUMIFS(Rabu!$H$7:$H$206,Rabu!$C$7:$C$206,$B17,Rabu!$A$7:$A$206,"&gt;="&amp;DATE(2026,8,1),Rabu!$A$7:$A$206,"&lt;="&amp;DATE(2026,8,31))+SUMIFS(Kamis!$H$7:$H$186,Kamis!$C$7:$C$186,$B17,Kamis!$A$7:$A$186,"&gt;="&amp;DATE(2026,8,1),Kamis!$A$7:$A$186,"&lt;="&amp;DATE(2026,8,31))+SUMIFS(Jumat!$H$7:$H$186,Jumat!$C$7:$C$186,$B17,Jumat!$A$7:$A$186,"&gt;="&amp;DATE(2026,8,1),Jumat!$A$7:$A$186,"&lt;="&amp;DATE(2026,8,31))</f>
        <v>0</v>
      </c>
      <c r="G17" s="45">
        <f>SUMIFS(Senin!$H$7:$H$146,Senin!$C$7:$C$146,$B17,Senin!$A$7:$A$146,"&gt;="&amp;DATE(2026,9,1),Senin!$A$7:$A$146,"&lt;="&amp;DATE(2026,9,30))+SUMIFS(Selasa!$H$7:$H$166,Selasa!$C$7:$C$166,$B17,Selasa!$A$7:$A$166,"&gt;="&amp;DATE(2026,9,1),Selasa!$A$7:$A$166,"&lt;="&amp;DATE(2026,9,30))+SUMIFS(Rabu!$H$7:$H$206,Rabu!$C$7:$C$206,$B17,Rabu!$A$7:$A$206,"&gt;="&amp;DATE(2026,9,1),Rabu!$A$7:$A$206,"&lt;="&amp;DATE(2026,9,30))+SUMIFS(Kamis!$H$7:$H$186,Kamis!$C$7:$C$186,$B17,Kamis!$A$7:$A$186,"&gt;="&amp;DATE(2026,9,1),Kamis!$A$7:$A$186,"&lt;="&amp;DATE(2026,9,30))+SUMIFS(Jumat!$H$7:$H$186,Jumat!$C$7:$C$186,$B17,Jumat!$A$7:$A$186,"&gt;="&amp;DATE(2026,9,1),Jumat!$A$7:$A$186,"&lt;="&amp;DATE(2026,9,30))</f>
        <v>0</v>
      </c>
      <c r="H17" s="45">
        <f>SUMIFS(Senin!$H$7:$H$146,Senin!$C$7:$C$146,$B17,Senin!$A$7:$A$146,"&gt;="&amp;DATE(2026,10,1),Senin!$A$7:$A$146,"&lt;="&amp;DATE(2026,10,31))+SUMIFS(Selasa!$H$7:$H$166,Selasa!$C$7:$C$166,$B17,Selasa!$A$7:$A$166,"&gt;="&amp;DATE(2026,10,1),Selasa!$A$7:$A$166,"&lt;="&amp;DATE(2026,10,31))+SUMIFS(Rabu!$H$7:$H$206,Rabu!$C$7:$C$206,$B17,Rabu!$A$7:$A$206,"&gt;="&amp;DATE(2026,10,1),Rabu!$A$7:$A$206,"&lt;="&amp;DATE(2026,10,31))+SUMIFS(Kamis!$H$7:$H$186,Kamis!$C$7:$C$186,$B17,Kamis!$A$7:$A$186,"&gt;="&amp;DATE(2026,10,1),Kamis!$A$7:$A$186,"&lt;="&amp;DATE(2026,10,31))+SUMIFS(Jumat!$H$7:$H$186,Jumat!$C$7:$C$186,$B17,Jumat!$A$7:$A$186,"&gt;="&amp;DATE(2026,10,1),Jumat!$A$7:$A$186,"&lt;="&amp;DATE(2026,10,31))</f>
        <v>0</v>
      </c>
      <c r="I17" s="45">
        <f>SUMIFS(Senin!$H$7:$H$146,Senin!$C$7:$C$146,$B17,Senin!$A$7:$A$146,"&gt;="&amp;DATE(2026,11,1),Senin!$A$7:$A$146,"&lt;="&amp;DATE(2026,11,30))+SUMIFS(Selasa!$H$7:$H$166,Selasa!$C$7:$C$166,$B17,Selasa!$A$7:$A$166,"&gt;="&amp;DATE(2026,11,1),Selasa!$A$7:$A$166,"&lt;="&amp;DATE(2026,11,30))+SUMIFS(Rabu!$H$7:$H$206,Rabu!$C$7:$C$206,$B17,Rabu!$A$7:$A$206,"&gt;="&amp;DATE(2026,11,1),Rabu!$A$7:$A$206,"&lt;="&amp;DATE(2026,11,30))+SUMIFS(Kamis!$H$7:$H$186,Kamis!$C$7:$C$186,$B17,Kamis!$A$7:$A$186,"&gt;="&amp;DATE(2026,11,1),Kamis!$A$7:$A$186,"&lt;="&amp;DATE(2026,11,30))+SUMIFS(Jumat!$H$7:$H$186,Jumat!$C$7:$C$186,$B17,Jumat!$A$7:$A$186,"&gt;="&amp;DATE(2026,11,1),Jumat!$A$7:$A$186,"&lt;="&amp;DATE(2026,11,30))</f>
        <v>0</v>
      </c>
      <c r="J17" s="45">
        <f>SUMIFS(Senin!$H$7:$H$146,Senin!$C$7:$C$146,$B17,Senin!$A$7:$A$146,"&gt;="&amp;DATE(2026,12,1),Senin!$A$7:$A$146,"&lt;="&amp;DATE(2026,12,31))+SUMIFS(Selasa!$H$7:$H$166,Selasa!$C$7:$C$166,$B17,Selasa!$A$7:$A$166,"&gt;="&amp;DATE(2026,12,1),Selasa!$A$7:$A$166,"&lt;="&amp;DATE(2026,12,31))+SUMIFS(Rabu!$H$7:$H$206,Rabu!$C$7:$C$206,$B17,Rabu!$A$7:$A$206,"&gt;="&amp;DATE(2026,12,1),Rabu!$A$7:$A$206,"&lt;="&amp;DATE(2026,12,31))+SUMIFS(Kamis!$H$7:$H$186,Kamis!$C$7:$C$186,$B17,Kamis!$A$7:$A$186,"&gt;="&amp;DATE(2026,12,1),Kamis!$A$7:$A$186,"&lt;="&amp;DATE(2026,12,31))+SUMIFS(Jumat!$H$7:$H$186,Jumat!$C$7:$C$186,$B17,Jumat!$A$7:$A$186,"&gt;="&amp;DATE(2026,12,1),Jumat!$A$7:$A$186,"&lt;="&amp;DATE(2026,12,31))</f>
        <v>0</v>
      </c>
      <c r="K17" s="45">
        <f>SUMIFS(Senin!$H$7:$H$146,Senin!$C$7:$C$146,$B17,Senin!$A$7:$A$146,"&gt;="&amp;DATE(2026,8,31),Senin!$A$7:$A$146,"&lt;="&amp;DATE(2026,9,6))+SUMIFS(Selasa!$H$7:$H$166,Selasa!$C$7:$C$166,$B17,Selasa!$A$7:$A$166,"&gt;="&amp;DATE(2026,8,31),Selasa!$A$7:$A$166,"&lt;="&amp;DATE(2026,9,6))+SUMIFS(Rabu!$H$7:$H$206,Rabu!$C$7:$C$206,$B17,Rabu!$A$7:$A$206,"&gt;="&amp;DATE(2026,8,31),Rabu!$A$7:$A$206,"&lt;="&amp;DATE(2026,9,6))+SUMIFS(Kamis!$H$7:$H$186,Kamis!$C$7:$C$186,$B17,Kamis!$A$7:$A$186,"&gt;="&amp;DATE(2026,8,31),Kamis!$A$7:$A$186,"&lt;="&amp;DATE(2026,9,6))+SUMIFS(Jumat!$H$7:$H$186,Jumat!$C$7:$C$186,$B17,Jumat!$A$7:$A$186,"&gt;="&amp;DATE(2026,8,31),Jumat!$A$7:$A$186,"&lt;="&amp;DATE(2026,9,6))</f>
        <v>0</v>
      </c>
      <c r="L17" s="45">
        <f>SUMIFS(Senin!$H$7:$H$146,Senin!$C$7:$C$146,$B17,Senin!$A$7:$A$146,"&gt;="&amp;DATE(2026,9,7),Senin!$A$7:$A$146,"&lt;="&amp;DATE(2026,9,13))+SUMIFS(Selasa!$H$7:$H$166,Selasa!$C$7:$C$166,$B17,Selasa!$A$7:$A$166,"&gt;="&amp;DATE(2026,9,7),Selasa!$A$7:$A$166,"&lt;="&amp;DATE(2026,9,13))+SUMIFS(Rabu!$H$7:$H$206,Rabu!$C$7:$C$206,$B17,Rabu!$A$7:$A$206,"&gt;="&amp;DATE(2026,9,7),Rabu!$A$7:$A$206,"&lt;="&amp;DATE(2026,9,13))+SUMIFS(Kamis!$H$7:$H$186,Kamis!$C$7:$C$186,$B17,Kamis!$A$7:$A$186,"&gt;="&amp;DATE(2026,9,7),Kamis!$A$7:$A$186,"&lt;="&amp;DATE(2026,9,13))+SUMIFS(Jumat!$H$7:$H$186,Jumat!$C$7:$C$186,$B17,Jumat!$A$7:$A$186,"&gt;="&amp;DATE(2026,9,7),Jumat!$A$7:$A$186,"&lt;="&amp;DATE(2026,9,13))</f>
        <v>0</v>
      </c>
      <c r="M17" s="45">
        <f>SUMIFS(Senin!$H$7:$H$146,Senin!$C$7:$C$146,$B17,Senin!$A$7:$A$146,"&gt;="&amp;DATE(2026,9,14),Senin!$A$7:$A$146,"&lt;="&amp;DATE(2026,9,20))+SUMIFS(Selasa!$H$7:$H$166,Selasa!$C$7:$C$166,$B17,Selasa!$A$7:$A$166,"&gt;="&amp;DATE(2026,9,14),Selasa!$A$7:$A$166,"&lt;="&amp;DATE(2026,9,20))+SUMIFS(Rabu!$H$7:$H$206,Rabu!$C$7:$C$206,$B17,Rabu!$A$7:$A$206,"&gt;="&amp;DATE(2026,9,14),Rabu!$A$7:$A$206,"&lt;="&amp;DATE(2026,9,20))+SUMIFS(Kamis!$H$7:$H$186,Kamis!$C$7:$C$186,$B17,Kamis!$A$7:$A$186,"&gt;="&amp;DATE(2026,9,14),Kamis!$A$7:$A$186,"&lt;="&amp;DATE(2026,9,20))+SUMIFS(Jumat!$H$7:$H$186,Jumat!$C$7:$C$186,$B17,Jumat!$A$7:$A$186,"&gt;="&amp;DATE(2026,9,14),Jumat!$A$7:$A$186,"&lt;="&amp;DATE(2026,9,20))</f>
        <v>0</v>
      </c>
      <c r="N17" s="45">
        <f>SUMIFS(Senin!$H$7:$H$146,Senin!$C$7:$C$146,$B17,Senin!$A$7:$A$146,"&gt;="&amp;DATE(2026,9,21),Senin!$A$7:$A$146,"&lt;="&amp;DATE(2026,9,27))+SUMIFS(Selasa!$H$7:$H$166,Selasa!$C$7:$C$166,$B17,Selasa!$A$7:$A$166,"&gt;="&amp;DATE(2026,9,21),Selasa!$A$7:$A$166,"&lt;="&amp;DATE(2026,9,27))+SUMIFS(Rabu!$H$7:$H$206,Rabu!$C$7:$C$206,$B17,Rabu!$A$7:$A$206,"&gt;="&amp;DATE(2026,9,21),Rabu!$A$7:$A$206,"&lt;="&amp;DATE(2026,9,27))+SUMIFS(Kamis!$H$7:$H$186,Kamis!$C$7:$C$186,$B17,Kamis!$A$7:$A$186,"&gt;="&amp;DATE(2026,9,21),Kamis!$A$7:$A$186,"&lt;="&amp;DATE(2026,9,27))+SUMIFS(Jumat!$H$7:$H$186,Jumat!$C$7:$C$186,$B17,Jumat!$A$7:$A$186,"&gt;="&amp;DATE(2026,9,21),Jumat!$A$7:$A$186,"&lt;="&amp;DATE(2026,9,27))</f>
        <v>0</v>
      </c>
      <c r="O17" s="45">
        <f>SUMIFS(Senin!$H$7:$H$146,Senin!$C$7:$C$146,$B17,Senin!$A$7:$A$146,"&gt;="&amp;DATE(2026,9,28),Senin!$A$7:$A$146,"&lt;="&amp;DATE(2026,10,4))+SUMIFS(Selasa!$H$7:$H$166,Selasa!$C$7:$C$166,$B17,Selasa!$A$7:$A$166,"&gt;="&amp;DATE(2026,9,28),Selasa!$A$7:$A$166,"&lt;="&amp;DATE(2026,10,4))+SUMIFS(Rabu!$H$7:$H$206,Rabu!$C$7:$C$206,$B17,Rabu!$A$7:$A$206,"&gt;="&amp;DATE(2026,9,28),Rabu!$A$7:$A$206,"&lt;="&amp;DATE(2026,10,4))+SUMIFS(Kamis!$H$7:$H$186,Kamis!$C$7:$C$186,$B17,Kamis!$A$7:$A$186,"&gt;="&amp;DATE(2026,9,28),Kamis!$A$7:$A$186,"&lt;="&amp;DATE(2026,10,4))+SUMIFS(Jumat!$H$7:$H$186,Jumat!$C$7:$C$186,$B17,Jumat!$A$7:$A$186,"&gt;="&amp;DATE(2026,9,28),Jumat!$A$7:$A$186,"&lt;="&amp;DATE(2026,10,4))</f>
        <v>0</v>
      </c>
      <c r="P17" s="45">
        <f>SUMIFS(Senin!$H$7:$H$146,Senin!$C$7:$C$146,$B17,Senin!$A$7:$A$146,"&gt;="&amp;DATE(2026,10,5),Senin!$A$7:$A$146,"&lt;="&amp;DATE(2026,10,11))+SUMIFS(Selasa!$H$7:$H$166,Selasa!$C$7:$C$166,$B17,Selasa!$A$7:$A$166,"&gt;="&amp;DATE(2026,10,5),Selasa!$A$7:$A$166,"&lt;="&amp;DATE(2026,10,11))+SUMIFS(Rabu!$H$7:$H$206,Rabu!$C$7:$C$206,$B17,Rabu!$A$7:$A$206,"&gt;="&amp;DATE(2026,10,5),Rabu!$A$7:$A$206,"&lt;="&amp;DATE(2026,10,11))+SUMIFS(Kamis!$H$7:$H$186,Kamis!$C$7:$C$186,$B17,Kamis!$A$7:$A$186,"&gt;="&amp;DATE(2026,10,5),Kamis!$A$7:$A$186,"&lt;="&amp;DATE(2026,10,11))+SUMIFS(Jumat!$H$7:$H$186,Jumat!$C$7:$C$186,$B17,Jumat!$A$7:$A$186,"&gt;="&amp;DATE(2026,10,5),Jumat!$A$7:$A$186,"&lt;="&amp;DATE(2026,10,11))</f>
        <v>0</v>
      </c>
      <c r="Q17" s="45">
        <f>SUMIFS(Senin!$H$7:$H$146,Senin!$C$7:$C$146,$B17,Senin!$A$7:$A$146,"&gt;="&amp;DATE(2026,10,12),Senin!$A$7:$A$146,"&lt;="&amp;DATE(2026,10,18))+SUMIFS(Selasa!$H$7:$H$166,Selasa!$C$7:$C$166,$B17,Selasa!$A$7:$A$166,"&gt;="&amp;DATE(2026,10,12),Selasa!$A$7:$A$166,"&lt;="&amp;DATE(2026,10,18))+SUMIFS(Rabu!$H$7:$H$206,Rabu!$C$7:$C$206,$B17,Rabu!$A$7:$A$206,"&gt;="&amp;DATE(2026,10,12),Rabu!$A$7:$A$206,"&lt;="&amp;DATE(2026,10,18))+SUMIFS(Kamis!$H$7:$H$186,Kamis!$C$7:$C$186,$B17,Kamis!$A$7:$A$186,"&gt;="&amp;DATE(2026,10,12),Kamis!$A$7:$A$186,"&lt;="&amp;DATE(2026,10,18))+SUMIFS(Jumat!$H$7:$H$186,Jumat!$C$7:$C$186,$B17,Jumat!$A$7:$A$186,"&gt;="&amp;DATE(2026,10,12),Jumat!$A$7:$A$186,"&lt;="&amp;DATE(2026,10,18))</f>
        <v>0</v>
      </c>
      <c r="R17" s="45">
        <f>SUMIFS(Senin!$H$7:$H$146,Senin!$C$7:$C$146,$B17,Senin!$A$7:$A$146,"&gt;="&amp;DATE(2026,10,19),Senin!$A$7:$A$146,"&lt;="&amp;DATE(2026,10,25))+SUMIFS(Selasa!$H$7:$H$166,Selasa!$C$7:$C$166,$B17,Selasa!$A$7:$A$166,"&gt;="&amp;DATE(2026,10,19),Selasa!$A$7:$A$166,"&lt;="&amp;DATE(2026,10,25))+SUMIFS(Rabu!$H$7:$H$206,Rabu!$C$7:$C$206,$B17,Rabu!$A$7:$A$206,"&gt;="&amp;DATE(2026,10,19),Rabu!$A$7:$A$206,"&lt;="&amp;DATE(2026,10,25))+SUMIFS(Kamis!$H$7:$H$186,Kamis!$C$7:$C$186,$B17,Kamis!$A$7:$A$186,"&gt;="&amp;DATE(2026,10,19),Kamis!$A$7:$A$186,"&lt;="&amp;DATE(2026,10,25))+SUMIFS(Jumat!$H$7:$H$186,Jumat!$C$7:$C$186,$B17,Jumat!$A$7:$A$186,"&gt;="&amp;DATE(2026,10,19),Jumat!$A$7:$A$186,"&lt;="&amp;DATE(2026,10,25))</f>
        <v>0</v>
      </c>
      <c r="S17" s="45">
        <f>SUMIFS(Senin!$H$7:$H$146,Senin!$C$7:$C$146,$B17,Senin!$A$7:$A$146,"&gt;="&amp;DATE(2026,10,26),Senin!$A$7:$A$146,"&lt;="&amp;DATE(2026,11,1))+SUMIFS(Selasa!$H$7:$H$166,Selasa!$C$7:$C$166,$B17,Selasa!$A$7:$A$166,"&gt;="&amp;DATE(2026,10,26),Selasa!$A$7:$A$166,"&lt;="&amp;DATE(2026,11,1))+SUMIFS(Rabu!$H$7:$H$206,Rabu!$C$7:$C$206,$B17,Rabu!$A$7:$A$206,"&gt;="&amp;DATE(2026,10,26),Rabu!$A$7:$A$206,"&lt;="&amp;DATE(2026,11,1))+SUMIFS(Kamis!$H$7:$H$186,Kamis!$C$7:$C$186,$B17,Kamis!$A$7:$A$186,"&gt;="&amp;DATE(2026,10,26),Kamis!$A$7:$A$186,"&lt;="&amp;DATE(2026,11,1))+SUMIFS(Jumat!$H$7:$H$186,Jumat!$C$7:$C$186,$B17,Jumat!$A$7:$A$186,"&gt;="&amp;DATE(2026,10,26),Jumat!$A$7:$A$186,"&lt;="&amp;DATE(2026,11,1))</f>
        <v>0</v>
      </c>
      <c r="T17" s="45">
        <f>SUMIFS(Senin!$H$7:$H$146,Senin!$C$7:$C$146,$B17,Senin!$A$7:$A$146,"&gt;="&amp;DATE(2026,11,2),Senin!$A$7:$A$146,"&lt;="&amp;DATE(2026,11,8))+SUMIFS(Selasa!$H$7:$H$166,Selasa!$C$7:$C$166,$B17,Selasa!$A$7:$A$166,"&gt;="&amp;DATE(2026,11,2),Selasa!$A$7:$A$166,"&lt;="&amp;DATE(2026,11,8))+SUMIFS(Rabu!$H$7:$H$206,Rabu!$C$7:$C$206,$B17,Rabu!$A$7:$A$206,"&gt;="&amp;DATE(2026,11,2),Rabu!$A$7:$A$206,"&lt;="&amp;DATE(2026,11,8))+SUMIFS(Kamis!$H$7:$H$186,Kamis!$C$7:$C$186,$B17,Kamis!$A$7:$A$186,"&gt;="&amp;DATE(2026,11,2),Kamis!$A$7:$A$186,"&lt;="&amp;DATE(2026,11,8))+SUMIFS(Jumat!$H$7:$H$186,Jumat!$C$7:$C$186,$B17,Jumat!$A$7:$A$186,"&gt;="&amp;DATE(2026,11,2),Jumat!$A$7:$A$186,"&lt;="&amp;DATE(2026,11,8))</f>
        <v>0</v>
      </c>
      <c r="U17" s="45">
        <f>SUMIFS(Senin!$H$7:$H$146,Senin!$C$7:$C$146,$B17,Senin!$A$7:$A$146,"&gt;="&amp;DATE(2026,11,9),Senin!$A$7:$A$146,"&lt;="&amp;DATE(2026,11,15))+SUMIFS(Selasa!$H$7:$H$166,Selasa!$C$7:$C$166,$B17,Selasa!$A$7:$A$166,"&gt;="&amp;DATE(2026,11,9),Selasa!$A$7:$A$166,"&lt;="&amp;DATE(2026,11,15))+SUMIFS(Rabu!$H$7:$H$206,Rabu!$C$7:$C$206,$B17,Rabu!$A$7:$A$206,"&gt;="&amp;DATE(2026,11,9),Rabu!$A$7:$A$206,"&lt;="&amp;DATE(2026,11,15))+SUMIFS(Kamis!$H$7:$H$186,Kamis!$C$7:$C$186,$B17,Kamis!$A$7:$A$186,"&gt;="&amp;DATE(2026,11,9),Kamis!$A$7:$A$186,"&lt;="&amp;DATE(2026,11,15))+SUMIFS(Jumat!$H$7:$H$186,Jumat!$C$7:$C$186,$B17,Jumat!$A$7:$A$186,"&gt;="&amp;DATE(2026,11,9),Jumat!$A$7:$A$186,"&lt;="&amp;DATE(2026,11,15))</f>
        <v>0</v>
      </c>
      <c r="V17" s="45">
        <f>SUMIFS(Senin!$H$7:$H$146,Senin!$C$7:$C$146,$B17,Senin!$A$7:$A$146,"&gt;="&amp;DATE(2026,11,16),Senin!$A$7:$A$146,"&lt;="&amp;DATE(2026,11,22))+SUMIFS(Selasa!$H$7:$H$166,Selasa!$C$7:$C$166,$B17,Selasa!$A$7:$A$166,"&gt;="&amp;DATE(2026,11,16),Selasa!$A$7:$A$166,"&lt;="&amp;DATE(2026,11,22))+SUMIFS(Rabu!$H$7:$H$206,Rabu!$C$7:$C$206,$B17,Rabu!$A$7:$A$206,"&gt;="&amp;DATE(2026,11,16),Rabu!$A$7:$A$206,"&lt;="&amp;DATE(2026,11,22))+SUMIFS(Kamis!$H$7:$H$186,Kamis!$C$7:$C$186,$B17,Kamis!$A$7:$A$186,"&gt;="&amp;DATE(2026,11,16),Kamis!$A$7:$A$186,"&lt;="&amp;DATE(2026,11,22))+SUMIFS(Jumat!$H$7:$H$186,Jumat!$C$7:$C$186,$B17,Jumat!$A$7:$A$186,"&gt;="&amp;DATE(2026,11,16),Jumat!$A$7:$A$186,"&lt;="&amp;DATE(2026,11,22))</f>
        <v>0</v>
      </c>
      <c r="W17" s="45">
        <f>SUMIFS(Senin!$H$7:$H$146,Senin!$C$7:$C$146,$B17,Senin!$A$7:$A$146,"&gt;="&amp;DATE(2026,11,23),Senin!$A$7:$A$146,"&lt;="&amp;DATE(2026,11,29))+SUMIFS(Selasa!$H$7:$H$166,Selasa!$C$7:$C$166,$B17,Selasa!$A$7:$A$166,"&gt;="&amp;DATE(2026,11,23),Selasa!$A$7:$A$166,"&lt;="&amp;DATE(2026,11,29))+SUMIFS(Rabu!$H$7:$H$206,Rabu!$C$7:$C$206,$B17,Rabu!$A$7:$A$206,"&gt;="&amp;DATE(2026,11,23),Rabu!$A$7:$A$206,"&lt;="&amp;DATE(2026,11,29))+SUMIFS(Kamis!$H$7:$H$186,Kamis!$C$7:$C$186,$B17,Kamis!$A$7:$A$186,"&gt;="&amp;DATE(2026,11,23),Kamis!$A$7:$A$186,"&lt;="&amp;DATE(2026,11,29))+SUMIFS(Jumat!$H$7:$H$186,Jumat!$C$7:$C$186,$B17,Jumat!$A$7:$A$186,"&gt;="&amp;DATE(2026,11,23),Jumat!$A$7:$A$186,"&lt;="&amp;DATE(2026,11,29))</f>
        <v>0</v>
      </c>
      <c r="X17" s="45">
        <f>SUMIFS(Senin!$H$7:$H$146,Senin!$C$7:$C$146,$B17,Senin!$A$7:$A$146,"&gt;="&amp;DATE(2026,11,30),Senin!$A$7:$A$146,"&lt;="&amp;DATE(2026,12,6))+SUMIFS(Selasa!$H$7:$H$166,Selasa!$C$7:$C$166,$B17,Selasa!$A$7:$A$166,"&gt;="&amp;DATE(2026,11,30),Selasa!$A$7:$A$166,"&lt;="&amp;DATE(2026,12,6))+SUMIFS(Rabu!$H$7:$H$206,Rabu!$C$7:$C$206,$B17,Rabu!$A$7:$A$206,"&gt;="&amp;DATE(2026,11,30),Rabu!$A$7:$A$206,"&lt;="&amp;DATE(2026,12,6))+SUMIFS(Kamis!$H$7:$H$186,Kamis!$C$7:$C$186,$B17,Kamis!$A$7:$A$186,"&gt;="&amp;DATE(2026,11,30),Kamis!$A$7:$A$186,"&lt;="&amp;DATE(2026,12,6))+SUMIFS(Jumat!$H$7:$H$186,Jumat!$C$7:$C$186,$B17,Jumat!$A$7:$A$186,"&gt;="&amp;DATE(2026,11,30),Jumat!$A$7:$A$186,"&lt;="&amp;DATE(2026,12,6))</f>
        <v>0</v>
      </c>
      <c r="Y17" s="45">
        <f>SUMIFS(Senin!$H$7:$H$146,Senin!$C$7:$C$146,$B17,Senin!$A$7:$A$146,"&gt;="&amp;DATE(2026,12,7),Senin!$A$7:$A$146,"&lt;="&amp;DATE(2026,12,13))+SUMIFS(Selasa!$H$7:$H$166,Selasa!$C$7:$C$166,$B17,Selasa!$A$7:$A$166,"&gt;="&amp;DATE(2026,12,7),Selasa!$A$7:$A$166,"&lt;="&amp;DATE(2026,12,13))+SUMIFS(Rabu!$H$7:$H$206,Rabu!$C$7:$C$206,$B17,Rabu!$A$7:$A$206,"&gt;="&amp;DATE(2026,12,7),Rabu!$A$7:$A$206,"&lt;="&amp;DATE(2026,12,13))+SUMIFS(Kamis!$H$7:$H$186,Kamis!$C$7:$C$186,$B17,Kamis!$A$7:$A$186,"&gt;="&amp;DATE(2026,12,7),Kamis!$A$7:$A$186,"&lt;="&amp;DATE(2026,12,13))+SUMIFS(Jumat!$H$7:$H$186,Jumat!$C$7:$C$186,$B17,Jumat!$A$7:$A$186,"&gt;="&amp;DATE(2026,12,7),Jumat!$A$7:$A$186,"&lt;="&amp;DATE(2026,12,13))</f>
        <v>0</v>
      </c>
      <c r="Z17" s="45">
        <f>SUMIFS(Senin!$H$7:$H$146,Senin!$C$7:$C$146,$B17,Senin!$A$7:$A$146,"&gt;="&amp;DATE(2026,12,14),Senin!$A$7:$A$146,"&lt;="&amp;DATE(2026,12,20))+SUMIFS(Selasa!$H$7:$H$166,Selasa!$C$7:$C$166,$B17,Selasa!$A$7:$A$166,"&gt;="&amp;DATE(2026,12,14),Selasa!$A$7:$A$166,"&lt;="&amp;DATE(2026,12,20))+SUMIFS(Rabu!$H$7:$H$206,Rabu!$C$7:$C$206,$B17,Rabu!$A$7:$A$206,"&gt;="&amp;DATE(2026,12,14),Rabu!$A$7:$A$206,"&lt;="&amp;DATE(2026,12,20))+SUMIFS(Kamis!$H$7:$H$186,Kamis!$C$7:$C$186,$B17,Kamis!$A$7:$A$186,"&gt;="&amp;DATE(2026,12,14),Kamis!$A$7:$A$186,"&lt;="&amp;DATE(2026,12,20))+SUMIFS(Jumat!$H$7:$H$186,Jumat!$C$7:$C$186,$B17,Jumat!$A$7:$A$186,"&gt;="&amp;DATE(2026,12,14),Jumat!$A$7:$A$186,"&lt;="&amp;DATE(2026,12,20))</f>
        <v>0</v>
      </c>
      <c r="AA17" s="45">
        <f>SUMIFS(Senin!$H$7:$H$146,Senin!$C$7:$C$146,$B17,Senin!$A$7:$A$146,"&gt;="&amp;DATE(2026,12,21),Senin!$A$7:$A$146,"&lt;="&amp;DATE(2026,12,27))+SUMIFS(Selasa!$H$7:$H$166,Selasa!$C$7:$C$166,$B17,Selasa!$A$7:$A$166,"&gt;="&amp;DATE(2026,12,21),Selasa!$A$7:$A$166,"&lt;="&amp;DATE(2026,12,27))+SUMIFS(Rabu!$H$7:$H$206,Rabu!$C$7:$C$206,$B17,Rabu!$A$7:$A$206,"&gt;="&amp;DATE(2026,12,21),Rabu!$A$7:$A$206,"&lt;="&amp;DATE(2026,12,27))+SUMIFS(Kamis!$H$7:$H$186,Kamis!$C$7:$C$186,$B17,Kamis!$A$7:$A$186,"&gt;="&amp;DATE(2026,12,21),Kamis!$A$7:$A$186,"&lt;="&amp;DATE(2026,12,27))+SUMIFS(Jumat!$H$7:$H$186,Jumat!$C$7:$C$186,$B17,Jumat!$A$7:$A$186,"&gt;="&amp;DATE(2026,12,21),Jumat!$A$7:$A$186,"&lt;="&amp;DATE(2026,12,27))</f>
        <v>0</v>
      </c>
      <c r="AB17" s="45">
        <f>SUMIFS(Senin!$H$7:$H$146,Senin!$C$7:$C$146,$B17,Senin!$A$7:$A$146,"&gt;="&amp;DATE(2026,12,28),Senin!$A$7:$A$146,"&lt;="&amp;DATE(2027,1,3))+SUMIFS(Selasa!$H$7:$H$166,Selasa!$C$7:$C$166,$B17,Selasa!$A$7:$A$166,"&gt;="&amp;DATE(2026,12,28),Selasa!$A$7:$A$166,"&lt;="&amp;DATE(2027,1,3))+SUMIFS(Rabu!$H$7:$H$206,Rabu!$C$7:$C$206,$B17,Rabu!$A$7:$A$206,"&gt;="&amp;DATE(2026,12,28),Rabu!$A$7:$A$206,"&lt;="&amp;DATE(2027,1,3))+SUMIFS(Kamis!$H$7:$H$186,Kamis!$C$7:$C$186,$B17,Kamis!$A$7:$A$186,"&gt;="&amp;DATE(2026,12,28),Kamis!$A$7:$A$186,"&lt;="&amp;DATE(2027,1,3))+SUMIFS(Jumat!$H$7:$H$186,Jumat!$C$7:$C$186,$B17,Jumat!$A$7:$A$186,"&gt;="&amp;DATE(2026,12,28),Jumat!$A$7:$A$186,"&lt;="&amp;DATE(2027,1,3))</f>
        <v>0</v>
      </c>
      <c r="AC17" s="45">
        <f>SUMIFS(Senin!$H$7:$H$146,Senin!$C$7:$C$146,$B17,Senin!$A$7:$A$146,"&gt;="&amp;DATE(2027,1,4),Senin!$A$7:$A$146,"&lt;="&amp;DATE(2027,1,10))+SUMIFS(Selasa!$H$7:$H$166,Selasa!$C$7:$C$166,$B17,Selasa!$A$7:$A$166,"&gt;="&amp;DATE(2027,1,4),Selasa!$A$7:$A$166,"&lt;="&amp;DATE(2027,1,10))+SUMIFS(Rabu!$H$7:$H$206,Rabu!$C$7:$C$206,$B17,Rabu!$A$7:$A$206,"&gt;="&amp;DATE(2027,1,4),Rabu!$A$7:$A$206,"&lt;="&amp;DATE(2027,1,10))+SUMIFS(Kamis!$H$7:$H$186,Kamis!$C$7:$C$186,$B17,Kamis!$A$7:$A$186,"&gt;="&amp;DATE(2027,1,4),Kamis!$A$7:$A$186,"&lt;="&amp;DATE(2027,1,10))+SUMIFS(Jumat!$H$7:$H$186,Jumat!$C$7:$C$186,$B17,Jumat!$A$7:$A$186,"&gt;="&amp;DATE(2027,1,4),Jumat!$A$7:$A$186,"&lt;="&amp;DATE(2027,1,10))</f>
        <v>0</v>
      </c>
      <c r="AD17" s="45">
        <f>SUMIFS(Senin!$H$7:$H$146,Senin!$C$7:$C$146,$B17,Senin!$A$7:$A$146,"&gt;="&amp;DATE(2027,1,11),Senin!$A$7:$A$146,"&lt;="&amp;DATE(2027,1,17))+SUMIFS(Selasa!$H$7:$H$166,Selasa!$C$7:$C$166,$B17,Selasa!$A$7:$A$166,"&gt;="&amp;DATE(2027,1,11),Selasa!$A$7:$A$166,"&lt;="&amp;DATE(2027,1,17))+SUMIFS(Rabu!$H$7:$H$206,Rabu!$C$7:$C$206,$B17,Rabu!$A$7:$A$206,"&gt;="&amp;DATE(2027,1,11),Rabu!$A$7:$A$206,"&lt;="&amp;DATE(2027,1,17))+SUMIFS(Kamis!$H$7:$H$186,Kamis!$C$7:$C$186,$B17,Kamis!$A$7:$A$186,"&gt;="&amp;DATE(2027,1,11),Kamis!$A$7:$A$186,"&lt;="&amp;DATE(2027,1,17))+SUMIFS(Jumat!$H$7:$H$186,Jumat!$C$7:$C$186,$B17,Jumat!$A$7:$A$186,"&gt;="&amp;DATE(2027,1,11),Jumat!$A$7:$A$186,"&lt;="&amp;DATE(2027,1,17))</f>
        <v>0</v>
      </c>
    </row>
    <row r="18" ht="15.75" customHeight="1">
      <c r="A18" s="27">
        <v>15.0</v>
      </c>
      <c r="B18" s="61" t="s">
        <v>22</v>
      </c>
      <c r="C18" s="41">
        <f>COUNTIFS(Senin!$C$7:$C$146,$B18,Senin!$G$7:$G$146,"Ya",Senin!$E$7:$E$146,"&lt;&gt;")+COUNTIFS(Selasa!$C$7:$C$166,$B18,Selasa!$G$7:$G$166,"Ya",Selasa!$E$7:$E$166,"&lt;&gt;")+COUNTIFS(Rabu!$C$7:$C$206,$B18,Rabu!$G$7:$G$206,"Ya",Rabu!$E$7:$E$206,"&lt;&gt;")+COUNTIFS(Kamis!$C$7:$C$186,$B18,Kamis!$G$7:$G$186,"Ya",Kamis!$E$7:$E$186,"&lt;&gt;")+COUNTIFS(Jumat!$C$7:$C$186,$B18,Jumat!$G$7:$G$186,"Ya",Jumat!$E$7:$E$186,"&lt;&gt;")</f>
        <v>0</v>
      </c>
      <c r="D18" s="41">
        <f>COUNTIFS(Senin!$C$7:$C$146,$B18,Senin!$G$7:$G$146,"Ya",Senin!$E$7:$E$146,"")+COUNTIFS(Selasa!$C$7:$C$166,$B18,Selasa!$G$7:$G$166,"Ya",Selasa!$E$7:$E$166,"")+COUNTIFS(Rabu!$C$7:$C$206,$B18,Rabu!$G$7:$G$206,"Ya",Rabu!$E$7:$E$206,"")+COUNTIFS(Kamis!$C$7:$C$186,$B18,Kamis!$G$7:$G$186,"Ya",Kamis!$E$7:$E$186,"")+COUNTIFS(Jumat!$C$7:$C$186,$B18,Jumat!$G$7:$G$186,"Ya",Jumat!$E$7:$E$186,"")</f>
        <v>1</v>
      </c>
      <c r="E18" s="45">
        <f>SUMIFS(Senin!$H$7:$H$146,Senin!$C$7:$C$146,$B18,Senin!$A$7:$A$146,"&gt;="&amp;DATE(2026,8,1),Senin!$A$7:$A$146,"&lt;="&amp;DATE(2026,12,31))+SUMIFS(Selasa!$H$7:$H$166,Selasa!$C$7:$C$166,$B18,Selasa!$A$7:$A$166,"&gt;="&amp;DATE(2026,8,1),Selasa!$A$7:$A$166,"&lt;="&amp;DATE(2026,12,31))+SUMIFS(Rabu!$H$7:$H$206,Rabu!$C$7:$C$206,$B18,Rabu!$A$7:$A$206,"&gt;="&amp;DATE(2026,8,1),Rabu!$A$7:$A$206,"&lt;="&amp;DATE(2026,12,31))+SUMIFS(Kamis!$H$7:$H$186,Kamis!$C$7:$C$186,$B18,Kamis!$A$7:$A$186,"&gt;="&amp;DATE(2026,8,1),Kamis!$A$7:$A$186,"&lt;="&amp;DATE(2026,12,31))+SUMIFS(Jumat!$H$7:$H$186,Jumat!$C$7:$C$186,$B18,Jumat!$A$7:$A$186,"&gt;="&amp;DATE(2026,8,1),Jumat!$A$7:$A$186,"&lt;="&amp;DATE(2026,12,31))</f>
        <v>10000</v>
      </c>
      <c r="F18" s="45">
        <f>SUMIFS(Senin!$H$7:$H$146,Senin!$C$7:$C$146,$B18,Senin!$A$7:$A$146,"&gt;="&amp;DATE(2026,8,1),Senin!$A$7:$A$146,"&lt;="&amp;DATE(2026,8,31))+SUMIFS(Selasa!$H$7:$H$166,Selasa!$C$7:$C$166,$B18,Selasa!$A$7:$A$166,"&gt;="&amp;DATE(2026,8,1),Selasa!$A$7:$A$166,"&lt;="&amp;DATE(2026,8,31))+SUMIFS(Rabu!$H$7:$H$206,Rabu!$C$7:$C$206,$B18,Rabu!$A$7:$A$206,"&gt;="&amp;DATE(2026,8,1),Rabu!$A$7:$A$206,"&lt;="&amp;DATE(2026,8,31))+SUMIFS(Kamis!$H$7:$H$186,Kamis!$C$7:$C$186,$B18,Kamis!$A$7:$A$186,"&gt;="&amp;DATE(2026,8,1),Kamis!$A$7:$A$186,"&lt;="&amp;DATE(2026,8,31))+SUMIFS(Jumat!$H$7:$H$186,Jumat!$C$7:$C$186,$B18,Jumat!$A$7:$A$186,"&gt;="&amp;DATE(2026,8,1),Jumat!$A$7:$A$186,"&lt;="&amp;DATE(2026,8,31))</f>
        <v>0</v>
      </c>
      <c r="G18" s="45">
        <f>SUMIFS(Senin!$H$7:$H$146,Senin!$C$7:$C$146,$B18,Senin!$A$7:$A$146,"&gt;="&amp;DATE(2026,9,1),Senin!$A$7:$A$146,"&lt;="&amp;DATE(2026,9,30))+SUMIFS(Selasa!$H$7:$H$166,Selasa!$C$7:$C$166,$B18,Selasa!$A$7:$A$166,"&gt;="&amp;DATE(2026,9,1),Selasa!$A$7:$A$166,"&lt;="&amp;DATE(2026,9,30))+SUMIFS(Rabu!$H$7:$H$206,Rabu!$C$7:$C$206,$B18,Rabu!$A$7:$A$206,"&gt;="&amp;DATE(2026,9,1),Rabu!$A$7:$A$206,"&lt;="&amp;DATE(2026,9,30))+SUMIFS(Kamis!$H$7:$H$186,Kamis!$C$7:$C$186,$B18,Kamis!$A$7:$A$186,"&gt;="&amp;DATE(2026,9,1),Kamis!$A$7:$A$186,"&lt;="&amp;DATE(2026,9,30))+SUMIFS(Jumat!$H$7:$H$186,Jumat!$C$7:$C$186,$B18,Jumat!$A$7:$A$186,"&gt;="&amp;DATE(2026,9,1),Jumat!$A$7:$A$186,"&lt;="&amp;DATE(2026,9,30))</f>
        <v>10000</v>
      </c>
      <c r="H18" s="45">
        <f>SUMIFS(Senin!$H$7:$H$146,Senin!$C$7:$C$146,$B18,Senin!$A$7:$A$146,"&gt;="&amp;DATE(2026,10,1),Senin!$A$7:$A$146,"&lt;="&amp;DATE(2026,10,31))+SUMIFS(Selasa!$H$7:$H$166,Selasa!$C$7:$C$166,$B18,Selasa!$A$7:$A$166,"&gt;="&amp;DATE(2026,10,1),Selasa!$A$7:$A$166,"&lt;="&amp;DATE(2026,10,31))+SUMIFS(Rabu!$H$7:$H$206,Rabu!$C$7:$C$206,$B18,Rabu!$A$7:$A$206,"&gt;="&amp;DATE(2026,10,1),Rabu!$A$7:$A$206,"&lt;="&amp;DATE(2026,10,31))+SUMIFS(Kamis!$H$7:$H$186,Kamis!$C$7:$C$186,$B18,Kamis!$A$7:$A$186,"&gt;="&amp;DATE(2026,10,1),Kamis!$A$7:$A$186,"&lt;="&amp;DATE(2026,10,31))+SUMIFS(Jumat!$H$7:$H$186,Jumat!$C$7:$C$186,$B18,Jumat!$A$7:$A$186,"&gt;="&amp;DATE(2026,10,1),Jumat!$A$7:$A$186,"&lt;="&amp;DATE(2026,10,31))</f>
        <v>0</v>
      </c>
      <c r="I18" s="45">
        <f>SUMIFS(Senin!$H$7:$H$146,Senin!$C$7:$C$146,$B18,Senin!$A$7:$A$146,"&gt;="&amp;DATE(2026,11,1),Senin!$A$7:$A$146,"&lt;="&amp;DATE(2026,11,30))+SUMIFS(Selasa!$H$7:$H$166,Selasa!$C$7:$C$166,$B18,Selasa!$A$7:$A$166,"&gt;="&amp;DATE(2026,11,1),Selasa!$A$7:$A$166,"&lt;="&amp;DATE(2026,11,30))+SUMIFS(Rabu!$H$7:$H$206,Rabu!$C$7:$C$206,$B18,Rabu!$A$7:$A$206,"&gt;="&amp;DATE(2026,11,1),Rabu!$A$7:$A$206,"&lt;="&amp;DATE(2026,11,30))+SUMIFS(Kamis!$H$7:$H$186,Kamis!$C$7:$C$186,$B18,Kamis!$A$7:$A$186,"&gt;="&amp;DATE(2026,11,1),Kamis!$A$7:$A$186,"&lt;="&amp;DATE(2026,11,30))+SUMIFS(Jumat!$H$7:$H$186,Jumat!$C$7:$C$186,$B18,Jumat!$A$7:$A$186,"&gt;="&amp;DATE(2026,11,1),Jumat!$A$7:$A$186,"&lt;="&amp;DATE(2026,11,30))</f>
        <v>0</v>
      </c>
      <c r="J18" s="45">
        <f>SUMIFS(Senin!$H$7:$H$146,Senin!$C$7:$C$146,$B18,Senin!$A$7:$A$146,"&gt;="&amp;DATE(2026,12,1),Senin!$A$7:$A$146,"&lt;="&amp;DATE(2026,12,31))+SUMIFS(Selasa!$H$7:$H$166,Selasa!$C$7:$C$166,$B18,Selasa!$A$7:$A$166,"&gt;="&amp;DATE(2026,12,1),Selasa!$A$7:$A$166,"&lt;="&amp;DATE(2026,12,31))+SUMIFS(Rabu!$H$7:$H$206,Rabu!$C$7:$C$206,$B18,Rabu!$A$7:$A$206,"&gt;="&amp;DATE(2026,12,1),Rabu!$A$7:$A$206,"&lt;="&amp;DATE(2026,12,31))+SUMIFS(Kamis!$H$7:$H$186,Kamis!$C$7:$C$186,$B18,Kamis!$A$7:$A$186,"&gt;="&amp;DATE(2026,12,1),Kamis!$A$7:$A$186,"&lt;="&amp;DATE(2026,12,31))+SUMIFS(Jumat!$H$7:$H$186,Jumat!$C$7:$C$186,$B18,Jumat!$A$7:$A$186,"&gt;="&amp;DATE(2026,12,1),Jumat!$A$7:$A$186,"&lt;="&amp;DATE(2026,12,31))</f>
        <v>0</v>
      </c>
      <c r="K18" s="45">
        <f>SUMIFS(Senin!$H$7:$H$146,Senin!$C$7:$C$146,$B18,Senin!$A$7:$A$146,"&gt;="&amp;DATE(2026,8,31),Senin!$A$7:$A$146,"&lt;="&amp;DATE(2026,9,6))+SUMIFS(Selasa!$H$7:$H$166,Selasa!$C$7:$C$166,$B18,Selasa!$A$7:$A$166,"&gt;="&amp;DATE(2026,8,31),Selasa!$A$7:$A$166,"&lt;="&amp;DATE(2026,9,6))+SUMIFS(Rabu!$H$7:$H$206,Rabu!$C$7:$C$206,$B18,Rabu!$A$7:$A$206,"&gt;="&amp;DATE(2026,8,31),Rabu!$A$7:$A$206,"&lt;="&amp;DATE(2026,9,6))+SUMIFS(Kamis!$H$7:$H$186,Kamis!$C$7:$C$186,$B18,Kamis!$A$7:$A$186,"&gt;="&amp;DATE(2026,8,31),Kamis!$A$7:$A$186,"&lt;="&amp;DATE(2026,9,6))+SUMIFS(Jumat!$H$7:$H$186,Jumat!$C$7:$C$186,$B18,Jumat!$A$7:$A$186,"&gt;="&amp;DATE(2026,8,31),Jumat!$A$7:$A$186,"&lt;="&amp;DATE(2026,9,6))</f>
        <v>10000</v>
      </c>
      <c r="L18" s="45">
        <f>SUMIFS(Senin!$H$7:$H$146,Senin!$C$7:$C$146,$B18,Senin!$A$7:$A$146,"&gt;="&amp;DATE(2026,9,7),Senin!$A$7:$A$146,"&lt;="&amp;DATE(2026,9,13))+SUMIFS(Selasa!$H$7:$H$166,Selasa!$C$7:$C$166,$B18,Selasa!$A$7:$A$166,"&gt;="&amp;DATE(2026,9,7),Selasa!$A$7:$A$166,"&lt;="&amp;DATE(2026,9,13))+SUMIFS(Rabu!$H$7:$H$206,Rabu!$C$7:$C$206,$B18,Rabu!$A$7:$A$206,"&gt;="&amp;DATE(2026,9,7),Rabu!$A$7:$A$206,"&lt;="&amp;DATE(2026,9,13))+SUMIFS(Kamis!$H$7:$H$186,Kamis!$C$7:$C$186,$B18,Kamis!$A$7:$A$186,"&gt;="&amp;DATE(2026,9,7),Kamis!$A$7:$A$186,"&lt;="&amp;DATE(2026,9,13))+SUMIFS(Jumat!$H$7:$H$186,Jumat!$C$7:$C$186,$B18,Jumat!$A$7:$A$186,"&gt;="&amp;DATE(2026,9,7),Jumat!$A$7:$A$186,"&lt;="&amp;DATE(2026,9,13))</f>
        <v>0</v>
      </c>
      <c r="M18" s="45">
        <f>SUMIFS(Senin!$H$7:$H$146,Senin!$C$7:$C$146,$B18,Senin!$A$7:$A$146,"&gt;="&amp;DATE(2026,9,14),Senin!$A$7:$A$146,"&lt;="&amp;DATE(2026,9,20))+SUMIFS(Selasa!$H$7:$H$166,Selasa!$C$7:$C$166,$B18,Selasa!$A$7:$A$166,"&gt;="&amp;DATE(2026,9,14),Selasa!$A$7:$A$166,"&lt;="&amp;DATE(2026,9,20))+SUMIFS(Rabu!$H$7:$H$206,Rabu!$C$7:$C$206,$B18,Rabu!$A$7:$A$206,"&gt;="&amp;DATE(2026,9,14),Rabu!$A$7:$A$206,"&lt;="&amp;DATE(2026,9,20))+SUMIFS(Kamis!$H$7:$H$186,Kamis!$C$7:$C$186,$B18,Kamis!$A$7:$A$186,"&gt;="&amp;DATE(2026,9,14),Kamis!$A$7:$A$186,"&lt;="&amp;DATE(2026,9,20))+SUMIFS(Jumat!$H$7:$H$186,Jumat!$C$7:$C$186,$B18,Jumat!$A$7:$A$186,"&gt;="&amp;DATE(2026,9,14),Jumat!$A$7:$A$186,"&lt;="&amp;DATE(2026,9,20))</f>
        <v>0</v>
      </c>
      <c r="N18" s="45">
        <f>SUMIFS(Senin!$H$7:$H$146,Senin!$C$7:$C$146,$B18,Senin!$A$7:$A$146,"&gt;="&amp;DATE(2026,9,21),Senin!$A$7:$A$146,"&lt;="&amp;DATE(2026,9,27))+SUMIFS(Selasa!$H$7:$H$166,Selasa!$C$7:$C$166,$B18,Selasa!$A$7:$A$166,"&gt;="&amp;DATE(2026,9,21),Selasa!$A$7:$A$166,"&lt;="&amp;DATE(2026,9,27))+SUMIFS(Rabu!$H$7:$H$206,Rabu!$C$7:$C$206,$B18,Rabu!$A$7:$A$206,"&gt;="&amp;DATE(2026,9,21),Rabu!$A$7:$A$206,"&lt;="&amp;DATE(2026,9,27))+SUMIFS(Kamis!$H$7:$H$186,Kamis!$C$7:$C$186,$B18,Kamis!$A$7:$A$186,"&gt;="&amp;DATE(2026,9,21),Kamis!$A$7:$A$186,"&lt;="&amp;DATE(2026,9,27))+SUMIFS(Jumat!$H$7:$H$186,Jumat!$C$7:$C$186,$B18,Jumat!$A$7:$A$186,"&gt;="&amp;DATE(2026,9,21),Jumat!$A$7:$A$186,"&lt;="&amp;DATE(2026,9,27))</f>
        <v>0</v>
      </c>
      <c r="O18" s="45">
        <f>SUMIFS(Senin!$H$7:$H$146,Senin!$C$7:$C$146,$B18,Senin!$A$7:$A$146,"&gt;="&amp;DATE(2026,9,28),Senin!$A$7:$A$146,"&lt;="&amp;DATE(2026,10,4))+SUMIFS(Selasa!$H$7:$H$166,Selasa!$C$7:$C$166,$B18,Selasa!$A$7:$A$166,"&gt;="&amp;DATE(2026,9,28),Selasa!$A$7:$A$166,"&lt;="&amp;DATE(2026,10,4))+SUMIFS(Rabu!$H$7:$H$206,Rabu!$C$7:$C$206,$B18,Rabu!$A$7:$A$206,"&gt;="&amp;DATE(2026,9,28),Rabu!$A$7:$A$206,"&lt;="&amp;DATE(2026,10,4))+SUMIFS(Kamis!$H$7:$H$186,Kamis!$C$7:$C$186,$B18,Kamis!$A$7:$A$186,"&gt;="&amp;DATE(2026,9,28),Kamis!$A$7:$A$186,"&lt;="&amp;DATE(2026,10,4))+SUMIFS(Jumat!$H$7:$H$186,Jumat!$C$7:$C$186,$B18,Jumat!$A$7:$A$186,"&gt;="&amp;DATE(2026,9,28),Jumat!$A$7:$A$186,"&lt;="&amp;DATE(2026,10,4))</f>
        <v>0</v>
      </c>
      <c r="P18" s="45">
        <f>SUMIFS(Senin!$H$7:$H$146,Senin!$C$7:$C$146,$B18,Senin!$A$7:$A$146,"&gt;="&amp;DATE(2026,10,5),Senin!$A$7:$A$146,"&lt;="&amp;DATE(2026,10,11))+SUMIFS(Selasa!$H$7:$H$166,Selasa!$C$7:$C$166,$B18,Selasa!$A$7:$A$166,"&gt;="&amp;DATE(2026,10,5),Selasa!$A$7:$A$166,"&lt;="&amp;DATE(2026,10,11))+SUMIFS(Rabu!$H$7:$H$206,Rabu!$C$7:$C$206,$B18,Rabu!$A$7:$A$206,"&gt;="&amp;DATE(2026,10,5),Rabu!$A$7:$A$206,"&lt;="&amp;DATE(2026,10,11))+SUMIFS(Kamis!$H$7:$H$186,Kamis!$C$7:$C$186,$B18,Kamis!$A$7:$A$186,"&gt;="&amp;DATE(2026,10,5),Kamis!$A$7:$A$186,"&lt;="&amp;DATE(2026,10,11))+SUMIFS(Jumat!$H$7:$H$186,Jumat!$C$7:$C$186,$B18,Jumat!$A$7:$A$186,"&gt;="&amp;DATE(2026,10,5),Jumat!$A$7:$A$186,"&lt;="&amp;DATE(2026,10,11))</f>
        <v>0</v>
      </c>
      <c r="Q18" s="45">
        <f>SUMIFS(Senin!$H$7:$H$146,Senin!$C$7:$C$146,$B18,Senin!$A$7:$A$146,"&gt;="&amp;DATE(2026,10,12),Senin!$A$7:$A$146,"&lt;="&amp;DATE(2026,10,18))+SUMIFS(Selasa!$H$7:$H$166,Selasa!$C$7:$C$166,$B18,Selasa!$A$7:$A$166,"&gt;="&amp;DATE(2026,10,12),Selasa!$A$7:$A$166,"&lt;="&amp;DATE(2026,10,18))+SUMIFS(Rabu!$H$7:$H$206,Rabu!$C$7:$C$206,$B18,Rabu!$A$7:$A$206,"&gt;="&amp;DATE(2026,10,12),Rabu!$A$7:$A$206,"&lt;="&amp;DATE(2026,10,18))+SUMIFS(Kamis!$H$7:$H$186,Kamis!$C$7:$C$186,$B18,Kamis!$A$7:$A$186,"&gt;="&amp;DATE(2026,10,12),Kamis!$A$7:$A$186,"&lt;="&amp;DATE(2026,10,18))+SUMIFS(Jumat!$H$7:$H$186,Jumat!$C$7:$C$186,$B18,Jumat!$A$7:$A$186,"&gt;="&amp;DATE(2026,10,12),Jumat!$A$7:$A$186,"&lt;="&amp;DATE(2026,10,18))</f>
        <v>0</v>
      </c>
      <c r="R18" s="45">
        <f>SUMIFS(Senin!$H$7:$H$146,Senin!$C$7:$C$146,$B18,Senin!$A$7:$A$146,"&gt;="&amp;DATE(2026,10,19),Senin!$A$7:$A$146,"&lt;="&amp;DATE(2026,10,25))+SUMIFS(Selasa!$H$7:$H$166,Selasa!$C$7:$C$166,$B18,Selasa!$A$7:$A$166,"&gt;="&amp;DATE(2026,10,19),Selasa!$A$7:$A$166,"&lt;="&amp;DATE(2026,10,25))+SUMIFS(Rabu!$H$7:$H$206,Rabu!$C$7:$C$206,$B18,Rabu!$A$7:$A$206,"&gt;="&amp;DATE(2026,10,19),Rabu!$A$7:$A$206,"&lt;="&amp;DATE(2026,10,25))+SUMIFS(Kamis!$H$7:$H$186,Kamis!$C$7:$C$186,$B18,Kamis!$A$7:$A$186,"&gt;="&amp;DATE(2026,10,19),Kamis!$A$7:$A$186,"&lt;="&amp;DATE(2026,10,25))+SUMIFS(Jumat!$H$7:$H$186,Jumat!$C$7:$C$186,$B18,Jumat!$A$7:$A$186,"&gt;="&amp;DATE(2026,10,19),Jumat!$A$7:$A$186,"&lt;="&amp;DATE(2026,10,25))</f>
        <v>0</v>
      </c>
      <c r="S18" s="45">
        <f>SUMIFS(Senin!$H$7:$H$146,Senin!$C$7:$C$146,$B18,Senin!$A$7:$A$146,"&gt;="&amp;DATE(2026,10,26),Senin!$A$7:$A$146,"&lt;="&amp;DATE(2026,11,1))+SUMIFS(Selasa!$H$7:$H$166,Selasa!$C$7:$C$166,$B18,Selasa!$A$7:$A$166,"&gt;="&amp;DATE(2026,10,26),Selasa!$A$7:$A$166,"&lt;="&amp;DATE(2026,11,1))+SUMIFS(Rabu!$H$7:$H$206,Rabu!$C$7:$C$206,$B18,Rabu!$A$7:$A$206,"&gt;="&amp;DATE(2026,10,26),Rabu!$A$7:$A$206,"&lt;="&amp;DATE(2026,11,1))+SUMIFS(Kamis!$H$7:$H$186,Kamis!$C$7:$C$186,$B18,Kamis!$A$7:$A$186,"&gt;="&amp;DATE(2026,10,26),Kamis!$A$7:$A$186,"&lt;="&amp;DATE(2026,11,1))+SUMIFS(Jumat!$H$7:$H$186,Jumat!$C$7:$C$186,$B18,Jumat!$A$7:$A$186,"&gt;="&amp;DATE(2026,10,26),Jumat!$A$7:$A$186,"&lt;="&amp;DATE(2026,11,1))</f>
        <v>0</v>
      </c>
      <c r="T18" s="45">
        <f>SUMIFS(Senin!$H$7:$H$146,Senin!$C$7:$C$146,$B18,Senin!$A$7:$A$146,"&gt;="&amp;DATE(2026,11,2),Senin!$A$7:$A$146,"&lt;="&amp;DATE(2026,11,8))+SUMIFS(Selasa!$H$7:$H$166,Selasa!$C$7:$C$166,$B18,Selasa!$A$7:$A$166,"&gt;="&amp;DATE(2026,11,2),Selasa!$A$7:$A$166,"&lt;="&amp;DATE(2026,11,8))+SUMIFS(Rabu!$H$7:$H$206,Rabu!$C$7:$C$206,$B18,Rabu!$A$7:$A$206,"&gt;="&amp;DATE(2026,11,2),Rabu!$A$7:$A$206,"&lt;="&amp;DATE(2026,11,8))+SUMIFS(Kamis!$H$7:$H$186,Kamis!$C$7:$C$186,$B18,Kamis!$A$7:$A$186,"&gt;="&amp;DATE(2026,11,2),Kamis!$A$7:$A$186,"&lt;="&amp;DATE(2026,11,8))+SUMIFS(Jumat!$H$7:$H$186,Jumat!$C$7:$C$186,$B18,Jumat!$A$7:$A$186,"&gt;="&amp;DATE(2026,11,2),Jumat!$A$7:$A$186,"&lt;="&amp;DATE(2026,11,8))</f>
        <v>0</v>
      </c>
      <c r="U18" s="45">
        <f>SUMIFS(Senin!$H$7:$H$146,Senin!$C$7:$C$146,$B18,Senin!$A$7:$A$146,"&gt;="&amp;DATE(2026,11,9),Senin!$A$7:$A$146,"&lt;="&amp;DATE(2026,11,15))+SUMIFS(Selasa!$H$7:$H$166,Selasa!$C$7:$C$166,$B18,Selasa!$A$7:$A$166,"&gt;="&amp;DATE(2026,11,9),Selasa!$A$7:$A$166,"&lt;="&amp;DATE(2026,11,15))+SUMIFS(Rabu!$H$7:$H$206,Rabu!$C$7:$C$206,$B18,Rabu!$A$7:$A$206,"&gt;="&amp;DATE(2026,11,9),Rabu!$A$7:$A$206,"&lt;="&amp;DATE(2026,11,15))+SUMIFS(Kamis!$H$7:$H$186,Kamis!$C$7:$C$186,$B18,Kamis!$A$7:$A$186,"&gt;="&amp;DATE(2026,11,9),Kamis!$A$7:$A$186,"&lt;="&amp;DATE(2026,11,15))+SUMIFS(Jumat!$H$7:$H$186,Jumat!$C$7:$C$186,$B18,Jumat!$A$7:$A$186,"&gt;="&amp;DATE(2026,11,9),Jumat!$A$7:$A$186,"&lt;="&amp;DATE(2026,11,15))</f>
        <v>0</v>
      </c>
      <c r="V18" s="45">
        <f>SUMIFS(Senin!$H$7:$H$146,Senin!$C$7:$C$146,$B18,Senin!$A$7:$A$146,"&gt;="&amp;DATE(2026,11,16),Senin!$A$7:$A$146,"&lt;="&amp;DATE(2026,11,22))+SUMIFS(Selasa!$H$7:$H$166,Selasa!$C$7:$C$166,$B18,Selasa!$A$7:$A$166,"&gt;="&amp;DATE(2026,11,16),Selasa!$A$7:$A$166,"&lt;="&amp;DATE(2026,11,22))+SUMIFS(Rabu!$H$7:$H$206,Rabu!$C$7:$C$206,$B18,Rabu!$A$7:$A$206,"&gt;="&amp;DATE(2026,11,16),Rabu!$A$7:$A$206,"&lt;="&amp;DATE(2026,11,22))+SUMIFS(Kamis!$H$7:$H$186,Kamis!$C$7:$C$186,$B18,Kamis!$A$7:$A$186,"&gt;="&amp;DATE(2026,11,16),Kamis!$A$7:$A$186,"&lt;="&amp;DATE(2026,11,22))+SUMIFS(Jumat!$H$7:$H$186,Jumat!$C$7:$C$186,$B18,Jumat!$A$7:$A$186,"&gt;="&amp;DATE(2026,11,16),Jumat!$A$7:$A$186,"&lt;="&amp;DATE(2026,11,22))</f>
        <v>0</v>
      </c>
      <c r="W18" s="45">
        <f>SUMIFS(Senin!$H$7:$H$146,Senin!$C$7:$C$146,$B18,Senin!$A$7:$A$146,"&gt;="&amp;DATE(2026,11,23),Senin!$A$7:$A$146,"&lt;="&amp;DATE(2026,11,29))+SUMIFS(Selasa!$H$7:$H$166,Selasa!$C$7:$C$166,$B18,Selasa!$A$7:$A$166,"&gt;="&amp;DATE(2026,11,23),Selasa!$A$7:$A$166,"&lt;="&amp;DATE(2026,11,29))+SUMIFS(Rabu!$H$7:$H$206,Rabu!$C$7:$C$206,$B18,Rabu!$A$7:$A$206,"&gt;="&amp;DATE(2026,11,23),Rabu!$A$7:$A$206,"&lt;="&amp;DATE(2026,11,29))+SUMIFS(Kamis!$H$7:$H$186,Kamis!$C$7:$C$186,$B18,Kamis!$A$7:$A$186,"&gt;="&amp;DATE(2026,11,23),Kamis!$A$7:$A$186,"&lt;="&amp;DATE(2026,11,29))+SUMIFS(Jumat!$H$7:$H$186,Jumat!$C$7:$C$186,$B18,Jumat!$A$7:$A$186,"&gt;="&amp;DATE(2026,11,23),Jumat!$A$7:$A$186,"&lt;="&amp;DATE(2026,11,29))</f>
        <v>0</v>
      </c>
      <c r="X18" s="45">
        <f>SUMIFS(Senin!$H$7:$H$146,Senin!$C$7:$C$146,$B18,Senin!$A$7:$A$146,"&gt;="&amp;DATE(2026,11,30),Senin!$A$7:$A$146,"&lt;="&amp;DATE(2026,12,6))+SUMIFS(Selasa!$H$7:$H$166,Selasa!$C$7:$C$166,$B18,Selasa!$A$7:$A$166,"&gt;="&amp;DATE(2026,11,30),Selasa!$A$7:$A$166,"&lt;="&amp;DATE(2026,12,6))+SUMIFS(Rabu!$H$7:$H$206,Rabu!$C$7:$C$206,$B18,Rabu!$A$7:$A$206,"&gt;="&amp;DATE(2026,11,30),Rabu!$A$7:$A$206,"&lt;="&amp;DATE(2026,12,6))+SUMIFS(Kamis!$H$7:$H$186,Kamis!$C$7:$C$186,$B18,Kamis!$A$7:$A$186,"&gt;="&amp;DATE(2026,11,30),Kamis!$A$7:$A$186,"&lt;="&amp;DATE(2026,12,6))+SUMIFS(Jumat!$H$7:$H$186,Jumat!$C$7:$C$186,$B18,Jumat!$A$7:$A$186,"&gt;="&amp;DATE(2026,11,30),Jumat!$A$7:$A$186,"&lt;="&amp;DATE(2026,12,6))</f>
        <v>0</v>
      </c>
      <c r="Y18" s="45">
        <f>SUMIFS(Senin!$H$7:$H$146,Senin!$C$7:$C$146,$B18,Senin!$A$7:$A$146,"&gt;="&amp;DATE(2026,12,7),Senin!$A$7:$A$146,"&lt;="&amp;DATE(2026,12,13))+SUMIFS(Selasa!$H$7:$H$166,Selasa!$C$7:$C$166,$B18,Selasa!$A$7:$A$166,"&gt;="&amp;DATE(2026,12,7),Selasa!$A$7:$A$166,"&lt;="&amp;DATE(2026,12,13))+SUMIFS(Rabu!$H$7:$H$206,Rabu!$C$7:$C$206,$B18,Rabu!$A$7:$A$206,"&gt;="&amp;DATE(2026,12,7),Rabu!$A$7:$A$206,"&lt;="&amp;DATE(2026,12,13))+SUMIFS(Kamis!$H$7:$H$186,Kamis!$C$7:$C$186,$B18,Kamis!$A$7:$A$186,"&gt;="&amp;DATE(2026,12,7),Kamis!$A$7:$A$186,"&lt;="&amp;DATE(2026,12,13))+SUMIFS(Jumat!$H$7:$H$186,Jumat!$C$7:$C$186,$B18,Jumat!$A$7:$A$186,"&gt;="&amp;DATE(2026,12,7),Jumat!$A$7:$A$186,"&lt;="&amp;DATE(2026,12,13))</f>
        <v>0</v>
      </c>
      <c r="Z18" s="45">
        <f>SUMIFS(Senin!$H$7:$H$146,Senin!$C$7:$C$146,$B18,Senin!$A$7:$A$146,"&gt;="&amp;DATE(2026,12,14),Senin!$A$7:$A$146,"&lt;="&amp;DATE(2026,12,20))+SUMIFS(Selasa!$H$7:$H$166,Selasa!$C$7:$C$166,$B18,Selasa!$A$7:$A$166,"&gt;="&amp;DATE(2026,12,14),Selasa!$A$7:$A$166,"&lt;="&amp;DATE(2026,12,20))+SUMIFS(Rabu!$H$7:$H$206,Rabu!$C$7:$C$206,$B18,Rabu!$A$7:$A$206,"&gt;="&amp;DATE(2026,12,14),Rabu!$A$7:$A$206,"&lt;="&amp;DATE(2026,12,20))+SUMIFS(Kamis!$H$7:$H$186,Kamis!$C$7:$C$186,$B18,Kamis!$A$7:$A$186,"&gt;="&amp;DATE(2026,12,14),Kamis!$A$7:$A$186,"&lt;="&amp;DATE(2026,12,20))+SUMIFS(Jumat!$H$7:$H$186,Jumat!$C$7:$C$186,$B18,Jumat!$A$7:$A$186,"&gt;="&amp;DATE(2026,12,14),Jumat!$A$7:$A$186,"&lt;="&amp;DATE(2026,12,20))</f>
        <v>0</v>
      </c>
      <c r="AA18" s="45">
        <f>SUMIFS(Senin!$H$7:$H$146,Senin!$C$7:$C$146,$B18,Senin!$A$7:$A$146,"&gt;="&amp;DATE(2026,12,21),Senin!$A$7:$A$146,"&lt;="&amp;DATE(2026,12,27))+SUMIFS(Selasa!$H$7:$H$166,Selasa!$C$7:$C$166,$B18,Selasa!$A$7:$A$166,"&gt;="&amp;DATE(2026,12,21),Selasa!$A$7:$A$166,"&lt;="&amp;DATE(2026,12,27))+SUMIFS(Rabu!$H$7:$H$206,Rabu!$C$7:$C$206,$B18,Rabu!$A$7:$A$206,"&gt;="&amp;DATE(2026,12,21),Rabu!$A$7:$A$206,"&lt;="&amp;DATE(2026,12,27))+SUMIFS(Kamis!$H$7:$H$186,Kamis!$C$7:$C$186,$B18,Kamis!$A$7:$A$186,"&gt;="&amp;DATE(2026,12,21),Kamis!$A$7:$A$186,"&lt;="&amp;DATE(2026,12,27))+SUMIFS(Jumat!$H$7:$H$186,Jumat!$C$7:$C$186,$B18,Jumat!$A$7:$A$186,"&gt;="&amp;DATE(2026,12,21),Jumat!$A$7:$A$186,"&lt;="&amp;DATE(2026,12,27))</f>
        <v>0</v>
      </c>
      <c r="AB18" s="45">
        <f>SUMIFS(Senin!$H$7:$H$146,Senin!$C$7:$C$146,$B18,Senin!$A$7:$A$146,"&gt;="&amp;DATE(2026,12,28),Senin!$A$7:$A$146,"&lt;="&amp;DATE(2027,1,3))+SUMIFS(Selasa!$H$7:$H$166,Selasa!$C$7:$C$166,$B18,Selasa!$A$7:$A$166,"&gt;="&amp;DATE(2026,12,28),Selasa!$A$7:$A$166,"&lt;="&amp;DATE(2027,1,3))+SUMIFS(Rabu!$H$7:$H$206,Rabu!$C$7:$C$206,$B18,Rabu!$A$7:$A$206,"&gt;="&amp;DATE(2026,12,28),Rabu!$A$7:$A$206,"&lt;="&amp;DATE(2027,1,3))+SUMIFS(Kamis!$H$7:$H$186,Kamis!$C$7:$C$186,$B18,Kamis!$A$7:$A$186,"&gt;="&amp;DATE(2026,12,28),Kamis!$A$7:$A$186,"&lt;="&amp;DATE(2027,1,3))+SUMIFS(Jumat!$H$7:$H$186,Jumat!$C$7:$C$186,$B18,Jumat!$A$7:$A$186,"&gt;="&amp;DATE(2026,12,28),Jumat!$A$7:$A$186,"&lt;="&amp;DATE(2027,1,3))</f>
        <v>0</v>
      </c>
      <c r="AC18" s="45">
        <f>SUMIFS(Senin!$H$7:$H$146,Senin!$C$7:$C$146,$B18,Senin!$A$7:$A$146,"&gt;="&amp;DATE(2027,1,4),Senin!$A$7:$A$146,"&lt;="&amp;DATE(2027,1,10))+SUMIFS(Selasa!$H$7:$H$166,Selasa!$C$7:$C$166,$B18,Selasa!$A$7:$A$166,"&gt;="&amp;DATE(2027,1,4),Selasa!$A$7:$A$166,"&lt;="&amp;DATE(2027,1,10))+SUMIFS(Rabu!$H$7:$H$206,Rabu!$C$7:$C$206,$B18,Rabu!$A$7:$A$206,"&gt;="&amp;DATE(2027,1,4),Rabu!$A$7:$A$206,"&lt;="&amp;DATE(2027,1,10))+SUMIFS(Kamis!$H$7:$H$186,Kamis!$C$7:$C$186,$B18,Kamis!$A$7:$A$186,"&gt;="&amp;DATE(2027,1,4),Kamis!$A$7:$A$186,"&lt;="&amp;DATE(2027,1,10))+SUMIFS(Jumat!$H$7:$H$186,Jumat!$C$7:$C$186,$B18,Jumat!$A$7:$A$186,"&gt;="&amp;DATE(2027,1,4),Jumat!$A$7:$A$186,"&lt;="&amp;DATE(2027,1,10))</f>
        <v>0</v>
      </c>
      <c r="AD18" s="45">
        <f>SUMIFS(Senin!$H$7:$H$146,Senin!$C$7:$C$146,$B18,Senin!$A$7:$A$146,"&gt;="&amp;DATE(2027,1,11),Senin!$A$7:$A$146,"&lt;="&amp;DATE(2027,1,17))+SUMIFS(Selasa!$H$7:$H$166,Selasa!$C$7:$C$166,$B18,Selasa!$A$7:$A$166,"&gt;="&amp;DATE(2027,1,11),Selasa!$A$7:$A$166,"&lt;="&amp;DATE(2027,1,17))+SUMIFS(Rabu!$H$7:$H$206,Rabu!$C$7:$C$206,$B18,Rabu!$A$7:$A$206,"&gt;="&amp;DATE(2027,1,11),Rabu!$A$7:$A$206,"&lt;="&amp;DATE(2027,1,17))+SUMIFS(Kamis!$H$7:$H$186,Kamis!$C$7:$C$186,$B18,Kamis!$A$7:$A$186,"&gt;="&amp;DATE(2027,1,11),Kamis!$A$7:$A$186,"&lt;="&amp;DATE(2027,1,17))+SUMIFS(Jumat!$H$7:$H$186,Jumat!$C$7:$C$186,$B18,Jumat!$A$7:$A$186,"&gt;="&amp;DATE(2027,1,11),Jumat!$A$7:$A$186,"&lt;="&amp;DATE(2027,1,17))</f>
        <v>0</v>
      </c>
    </row>
    <row r="19" ht="15.75" customHeight="1">
      <c r="A19" s="27">
        <v>16.0</v>
      </c>
      <c r="B19" s="61" t="s">
        <v>38</v>
      </c>
      <c r="C19" s="41">
        <f>COUNTIFS(Senin!$C$7:$C$146,$B19,Senin!$G$7:$G$146,"Ya",Senin!$E$7:$E$146,"&lt;&gt;")+COUNTIFS(Selasa!$C$7:$C$166,$B19,Selasa!$G$7:$G$166,"Ya",Selasa!$E$7:$E$166,"&lt;&gt;")+COUNTIFS(Rabu!$C$7:$C$206,$B19,Rabu!$G$7:$G$206,"Ya",Rabu!$E$7:$E$206,"&lt;&gt;")+COUNTIFS(Kamis!$C$7:$C$186,$B19,Kamis!$G$7:$G$186,"Ya",Kamis!$E$7:$E$186,"&lt;&gt;")+COUNTIFS(Jumat!$C$7:$C$186,$B19,Jumat!$G$7:$G$186,"Ya",Jumat!$E$7:$E$186,"&lt;&gt;")</f>
        <v>0</v>
      </c>
      <c r="D19" s="41">
        <f>COUNTIFS(Senin!$C$7:$C$146,$B19,Senin!$G$7:$G$146,"Ya",Senin!$E$7:$E$146,"")+COUNTIFS(Selasa!$C$7:$C$166,$B19,Selasa!$G$7:$G$166,"Ya",Selasa!$E$7:$E$166,"")+COUNTIFS(Rabu!$C$7:$C$206,$B19,Rabu!$G$7:$G$206,"Ya",Rabu!$E$7:$E$206,"")+COUNTIFS(Kamis!$C$7:$C$186,$B19,Kamis!$G$7:$G$186,"Ya",Kamis!$E$7:$E$186,"")+COUNTIFS(Jumat!$C$7:$C$186,$B19,Jumat!$G$7:$G$186,"Ya",Jumat!$E$7:$E$186,"")</f>
        <v>0</v>
      </c>
      <c r="E19" s="45">
        <f>SUMIFS(Senin!$H$7:$H$146,Senin!$C$7:$C$146,$B19,Senin!$A$7:$A$146,"&gt;="&amp;DATE(2026,8,1),Senin!$A$7:$A$146,"&lt;="&amp;DATE(2026,12,31))+SUMIFS(Selasa!$H$7:$H$166,Selasa!$C$7:$C$166,$B19,Selasa!$A$7:$A$166,"&gt;="&amp;DATE(2026,8,1),Selasa!$A$7:$A$166,"&lt;="&amp;DATE(2026,12,31))+SUMIFS(Rabu!$H$7:$H$206,Rabu!$C$7:$C$206,$B19,Rabu!$A$7:$A$206,"&gt;="&amp;DATE(2026,8,1),Rabu!$A$7:$A$206,"&lt;="&amp;DATE(2026,12,31))+SUMIFS(Kamis!$H$7:$H$186,Kamis!$C$7:$C$186,$B19,Kamis!$A$7:$A$186,"&gt;="&amp;DATE(2026,8,1),Kamis!$A$7:$A$186,"&lt;="&amp;DATE(2026,12,31))+SUMIFS(Jumat!$H$7:$H$186,Jumat!$C$7:$C$186,$B19,Jumat!$A$7:$A$186,"&gt;="&amp;DATE(2026,8,1),Jumat!$A$7:$A$186,"&lt;="&amp;DATE(2026,12,31))</f>
        <v>0</v>
      </c>
      <c r="F19" s="45">
        <f>SUMIFS(Senin!$H$7:$H$146,Senin!$C$7:$C$146,$B19,Senin!$A$7:$A$146,"&gt;="&amp;DATE(2026,8,1),Senin!$A$7:$A$146,"&lt;="&amp;DATE(2026,8,31))+SUMIFS(Selasa!$H$7:$H$166,Selasa!$C$7:$C$166,$B19,Selasa!$A$7:$A$166,"&gt;="&amp;DATE(2026,8,1),Selasa!$A$7:$A$166,"&lt;="&amp;DATE(2026,8,31))+SUMIFS(Rabu!$H$7:$H$206,Rabu!$C$7:$C$206,$B19,Rabu!$A$7:$A$206,"&gt;="&amp;DATE(2026,8,1),Rabu!$A$7:$A$206,"&lt;="&amp;DATE(2026,8,31))+SUMIFS(Kamis!$H$7:$H$186,Kamis!$C$7:$C$186,$B19,Kamis!$A$7:$A$186,"&gt;="&amp;DATE(2026,8,1),Kamis!$A$7:$A$186,"&lt;="&amp;DATE(2026,8,31))+SUMIFS(Jumat!$H$7:$H$186,Jumat!$C$7:$C$186,$B19,Jumat!$A$7:$A$186,"&gt;="&amp;DATE(2026,8,1),Jumat!$A$7:$A$186,"&lt;="&amp;DATE(2026,8,31))</f>
        <v>0</v>
      </c>
      <c r="G19" s="45">
        <f>SUMIFS(Senin!$H$7:$H$146,Senin!$C$7:$C$146,$B19,Senin!$A$7:$A$146,"&gt;="&amp;DATE(2026,9,1),Senin!$A$7:$A$146,"&lt;="&amp;DATE(2026,9,30))+SUMIFS(Selasa!$H$7:$H$166,Selasa!$C$7:$C$166,$B19,Selasa!$A$7:$A$166,"&gt;="&amp;DATE(2026,9,1),Selasa!$A$7:$A$166,"&lt;="&amp;DATE(2026,9,30))+SUMIFS(Rabu!$H$7:$H$206,Rabu!$C$7:$C$206,$B19,Rabu!$A$7:$A$206,"&gt;="&amp;DATE(2026,9,1),Rabu!$A$7:$A$206,"&lt;="&amp;DATE(2026,9,30))+SUMIFS(Kamis!$H$7:$H$186,Kamis!$C$7:$C$186,$B19,Kamis!$A$7:$A$186,"&gt;="&amp;DATE(2026,9,1),Kamis!$A$7:$A$186,"&lt;="&amp;DATE(2026,9,30))+SUMIFS(Jumat!$H$7:$H$186,Jumat!$C$7:$C$186,$B19,Jumat!$A$7:$A$186,"&gt;="&amp;DATE(2026,9,1),Jumat!$A$7:$A$186,"&lt;="&amp;DATE(2026,9,30))</f>
        <v>0</v>
      </c>
      <c r="H19" s="45">
        <f>SUMIFS(Senin!$H$7:$H$146,Senin!$C$7:$C$146,$B19,Senin!$A$7:$A$146,"&gt;="&amp;DATE(2026,10,1),Senin!$A$7:$A$146,"&lt;="&amp;DATE(2026,10,31))+SUMIFS(Selasa!$H$7:$H$166,Selasa!$C$7:$C$166,$B19,Selasa!$A$7:$A$166,"&gt;="&amp;DATE(2026,10,1),Selasa!$A$7:$A$166,"&lt;="&amp;DATE(2026,10,31))+SUMIFS(Rabu!$H$7:$H$206,Rabu!$C$7:$C$206,$B19,Rabu!$A$7:$A$206,"&gt;="&amp;DATE(2026,10,1),Rabu!$A$7:$A$206,"&lt;="&amp;DATE(2026,10,31))+SUMIFS(Kamis!$H$7:$H$186,Kamis!$C$7:$C$186,$B19,Kamis!$A$7:$A$186,"&gt;="&amp;DATE(2026,10,1),Kamis!$A$7:$A$186,"&lt;="&amp;DATE(2026,10,31))+SUMIFS(Jumat!$H$7:$H$186,Jumat!$C$7:$C$186,$B19,Jumat!$A$7:$A$186,"&gt;="&amp;DATE(2026,10,1),Jumat!$A$7:$A$186,"&lt;="&amp;DATE(2026,10,31))</f>
        <v>0</v>
      </c>
      <c r="I19" s="45">
        <f>SUMIFS(Senin!$H$7:$H$146,Senin!$C$7:$C$146,$B19,Senin!$A$7:$A$146,"&gt;="&amp;DATE(2026,11,1),Senin!$A$7:$A$146,"&lt;="&amp;DATE(2026,11,30))+SUMIFS(Selasa!$H$7:$H$166,Selasa!$C$7:$C$166,$B19,Selasa!$A$7:$A$166,"&gt;="&amp;DATE(2026,11,1),Selasa!$A$7:$A$166,"&lt;="&amp;DATE(2026,11,30))+SUMIFS(Rabu!$H$7:$H$206,Rabu!$C$7:$C$206,$B19,Rabu!$A$7:$A$206,"&gt;="&amp;DATE(2026,11,1),Rabu!$A$7:$A$206,"&lt;="&amp;DATE(2026,11,30))+SUMIFS(Kamis!$H$7:$H$186,Kamis!$C$7:$C$186,$B19,Kamis!$A$7:$A$186,"&gt;="&amp;DATE(2026,11,1),Kamis!$A$7:$A$186,"&lt;="&amp;DATE(2026,11,30))+SUMIFS(Jumat!$H$7:$H$186,Jumat!$C$7:$C$186,$B19,Jumat!$A$7:$A$186,"&gt;="&amp;DATE(2026,11,1),Jumat!$A$7:$A$186,"&lt;="&amp;DATE(2026,11,30))</f>
        <v>0</v>
      </c>
      <c r="J19" s="45">
        <f>SUMIFS(Senin!$H$7:$H$146,Senin!$C$7:$C$146,$B19,Senin!$A$7:$A$146,"&gt;="&amp;DATE(2026,12,1),Senin!$A$7:$A$146,"&lt;="&amp;DATE(2026,12,31))+SUMIFS(Selasa!$H$7:$H$166,Selasa!$C$7:$C$166,$B19,Selasa!$A$7:$A$166,"&gt;="&amp;DATE(2026,12,1),Selasa!$A$7:$A$166,"&lt;="&amp;DATE(2026,12,31))+SUMIFS(Rabu!$H$7:$H$206,Rabu!$C$7:$C$206,$B19,Rabu!$A$7:$A$206,"&gt;="&amp;DATE(2026,12,1),Rabu!$A$7:$A$206,"&lt;="&amp;DATE(2026,12,31))+SUMIFS(Kamis!$H$7:$H$186,Kamis!$C$7:$C$186,$B19,Kamis!$A$7:$A$186,"&gt;="&amp;DATE(2026,12,1),Kamis!$A$7:$A$186,"&lt;="&amp;DATE(2026,12,31))+SUMIFS(Jumat!$H$7:$H$186,Jumat!$C$7:$C$186,$B19,Jumat!$A$7:$A$186,"&gt;="&amp;DATE(2026,12,1),Jumat!$A$7:$A$186,"&lt;="&amp;DATE(2026,12,31))</f>
        <v>0</v>
      </c>
      <c r="K19" s="45">
        <f>SUMIFS(Senin!$H$7:$H$146,Senin!$C$7:$C$146,$B19,Senin!$A$7:$A$146,"&gt;="&amp;DATE(2026,8,31),Senin!$A$7:$A$146,"&lt;="&amp;DATE(2026,9,6))+SUMIFS(Selasa!$H$7:$H$166,Selasa!$C$7:$C$166,$B19,Selasa!$A$7:$A$166,"&gt;="&amp;DATE(2026,8,31),Selasa!$A$7:$A$166,"&lt;="&amp;DATE(2026,9,6))+SUMIFS(Rabu!$H$7:$H$206,Rabu!$C$7:$C$206,$B19,Rabu!$A$7:$A$206,"&gt;="&amp;DATE(2026,8,31),Rabu!$A$7:$A$206,"&lt;="&amp;DATE(2026,9,6))+SUMIFS(Kamis!$H$7:$H$186,Kamis!$C$7:$C$186,$B19,Kamis!$A$7:$A$186,"&gt;="&amp;DATE(2026,8,31),Kamis!$A$7:$A$186,"&lt;="&amp;DATE(2026,9,6))+SUMIFS(Jumat!$H$7:$H$186,Jumat!$C$7:$C$186,$B19,Jumat!$A$7:$A$186,"&gt;="&amp;DATE(2026,8,31),Jumat!$A$7:$A$186,"&lt;="&amp;DATE(2026,9,6))</f>
        <v>0</v>
      </c>
      <c r="L19" s="45">
        <f>SUMIFS(Senin!$H$7:$H$146,Senin!$C$7:$C$146,$B19,Senin!$A$7:$A$146,"&gt;="&amp;DATE(2026,9,7),Senin!$A$7:$A$146,"&lt;="&amp;DATE(2026,9,13))+SUMIFS(Selasa!$H$7:$H$166,Selasa!$C$7:$C$166,$B19,Selasa!$A$7:$A$166,"&gt;="&amp;DATE(2026,9,7),Selasa!$A$7:$A$166,"&lt;="&amp;DATE(2026,9,13))+SUMIFS(Rabu!$H$7:$H$206,Rabu!$C$7:$C$206,$B19,Rabu!$A$7:$A$206,"&gt;="&amp;DATE(2026,9,7),Rabu!$A$7:$A$206,"&lt;="&amp;DATE(2026,9,13))+SUMIFS(Kamis!$H$7:$H$186,Kamis!$C$7:$C$186,$B19,Kamis!$A$7:$A$186,"&gt;="&amp;DATE(2026,9,7),Kamis!$A$7:$A$186,"&lt;="&amp;DATE(2026,9,13))+SUMIFS(Jumat!$H$7:$H$186,Jumat!$C$7:$C$186,$B19,Jumat!$A$7:$A$186,"&gt;="&amp;DATE(2026,9,7),Jumat!$A$7:$A$186,"&lt;="&amp;DATE(2026,9,13))</f>
        <v>0</v>
      </c>
      <c r="M19" s="45">
        <f>SUMIFS(Senin!$H$7:$H$146,Senin!$C$7:$C$146,$B19,Senin!$A$7:$A$146,"&gt;="&amp;DATE(2026,9,14),Senin!$A$7:$A$146,"&lt;="&amp;DATE(2026,9,20))+SUMIFS(Selasa!$H$7:$H$166,Selasa!$C$7:$C$166,$B19,Selasa!$A$7:$A$166,"&gt;="&amp;DATE(2026,9,14),Selasa!$A$7:$A$166,"&lt;="&amp;DATE(2026,9,20))+SUMIFS(Rabu!$H$7:$H$206,Rabu!$C$7:$C$206,$B19,Rabu!$A$7:$A$206,"&gt;="&amp;DATE(2026,9,14),Rabu!$A$7:$A$206,"&lt;="&amp;DATE(2026,9,20))+SUMIFS(Kamis!$H$7:$H$186,Kamis!$C$7:$C$186,$B19,Kamis!$A$7:$A$186,"&gt;="&amp;DATE(2026,9,14),Kamis!$A$7:$A$186,"&lt;="&amp;DATE(2026,9,20))+SUMIFS(Jumat!$H$7:$H$186,Jumat!$C$7:$C$186,$B19,Jumat!$A$7:$A$186,"&gt;="&amp;DATE(2026,9,14),Jumat!$A$7:$A$186,"&lt;="&amp;DATE(2026,9,20))</f>
        <v>0</v>
      </c>
      <c r="N19" s="45">
        <f>SUMIFS(Senin!$H$7:$H$146,Senin!$C$7:$C$146,$B19,Senin!$A$7:$A$146,"&gt;="&amp;DATE(2026,9,21),Senin!$A$7:$A$146,"&lt;="&amp;DATE(2026,9,27))+SUMIFS(Selasa!$H$7:$H$166,Selasa!$C$7:$C$166,$B19,Selasa!$A$7:$A$166,"&gt;="&amp;DATE(2026,9,21),Selasa!$A$7:$A$166,"&lt;="&amp;DATE(2026,9,27))+SUMIFS(Rabu!$H$7:$H$206,Rabu!$C$7:$C$206,$B19,Rabu!$A$7:$A$206,"&gt;="&amp;DATE(2026,9,21),Rabu!$A$7:$A$206,"&lt;="&amp;DATE(2026,9,27))+SUMIFS(Kamis!$H$7:$H$186,Kamis!$C$7:$C$186,$B19,Kamis!$A$7:$A$186,"&gt;="&amp;DATE(2026,9,21),Kamis!$A$7:$A$186,"&lt;="&amp;DATE(2026,9,27))+SUMIFS(Jumat!$H$7:$H$186,Jumat!$C$7:$C$186,$B19,Jumat!$A$7:$A$186,"&gt;="&amp;DATE(2026,9,21),Jumat!$A$7:$A$186,"&lt;="&amp;DATE(2026,9,27))</f>
        <v>0</v>
      </c>
      <c r="O19" s="45">
        <f>SUMIFS(Senin!$H$7:$H$146,Senin!$C$7:$C$146,$B19,Senin!$A$7:$A$146,"&gt;="&amp;DATE(2026,9,28),Senin!$A$7:$A$146,"&lt;="&amp;DATE(2026,10,4))+SUMIFS(Selasa!$H$7:$H$166,Selasa!$C$7:$C$166,$B19,Selasa!$A$7:$A$166,"&gt;="&amp;DATE(2026,9,28),Selasa!$A$7:$A$166,"&lt;="&amp;DATE(2026,10,4))+SUMIFS(Rabu!$H$7:$H$206,Rabu!$C$7:$C$206,$B19,Rabu!$A$7:$A$206,"&gt;="&amp;DATE(2026,9,28),Rabu!$A$7:$A$206,"&lt;="&amp;DATE(2026,10,4))+SUMIFS(Kamis!$H$7:$H$186,Kamis!$C$7:$C$186,$B19,Kamis!$A$7:$A$186,"&gt;="&amp;DATE(2026,9,28),Kamis!$A$7:$A$186,"&lt;="&amp;DATE(2026,10,4))+SUMIFS(Jumat!$H$7:$H$186,Jumat!$C$7:$C$186,$B19,Jumat!$A$7:$A$186,"&gt;="&amp;DATE(2026,9,28),Jumat!$A$7:$A$186,"&lt;="&amp;DATE(2026,10,4))</f>
        <v>0</v>
      </c>
      <c r="P19" s="45">
        <f>SUMIFS(Senin!$H$7:$H$146,Senin!$C$7:$C$146,$B19,Senin!$A$7:$A$146,"&gt;="&amp;DATE(2026,10,5),Senin!$A$7:$A$146,"&lt;="&amp;DATE(2026,10,11))+SUMIFS(Selasa!$H$7:$H$166,Selasa!$C$7:$C$166,$B19,Selasa!$A$7:$A$166,"&gt;="&amp;DATE(2026,10,5),Selasa!$A$7:$A$166,"&lt;="&amp;DATE(2026,10,11))+SUMIFS(Rabu!$H$7:$H$206,Rabu!$C$7:$C$206,$B19,Rabu!$A$7:$A$206,"&gt;="&amp;DATE(2026,10,5),Rabu!$A$7:$A$206,"&lt;="&amp;DATE(2026,10,11))+SUMIFS(Kamis!$H$7:$H$186,Kamis!$C$7:$C$186,$B19,Kamis!$A$7:$A$186,"&gt;="&amp;DATE(2026,10,5),Kamis!$A$7:$A$186,"&lt;="&amp;DATE(2026,10,11))+SUMIFS(Jumat!$H$7:$H$186,Jumat!$C$7:$C$186,$B19,Jumat!$A$7:$A$186,"&gt;="&amp;DATE(2026,10,5),Jumat!$A$7:$A$186,"&lt;="&amp;DATE(2026,10,11))</f>
        <v>0</v>
      </c>
      <c r="Q19" s="45">
        <f>SUMIFS(Senin!$H$7:$H$146,Senin!$C$7:$C$146,$B19,Senin!$A$7:$A$146,"&gt;="&amp;DATE(2026,10,12),Senin!$A$7:$A$146,"&lt;="&amp;DATE(2026,10,18))+SUMIFS(Selasa!$H$7:$H$166,Selasa!$C$7:$C$166,$B19,Selasa!$A$7:$A$166,"&gt;="&amp;DATE(2026,10,12),Selasa!$A$7:$A$166,"&lt;="&amp;DATE(2026,10,18))+SUMIFS(Rabu!$H$7:$H$206,Rabu!$C$7:$C$206,$B19,Rabu!$A$7:$A$206,"&gt;="&amp;DATE(2026,10,12),Rabu!$A$7:$A$206,"&lt;="&amp;DATE(2026,10,18))+SUMIFS(Kamis!$H$7:$H$186,Kamis!$C$7:$C$186,$B19,Kamis!$A$7:$A$186,"&gt;="&amp;DATE(2026,10,12),Kamis!$A$7:$A$186,"&lt;="&amp;DATE(2026,10,18))+SUMIFS(Jumat!$H$7:$H$186,Jumat!$C$7:$C$186,$B19,Jumat!$A$7:$A$186,"&gt;="&amp;DATE(2026,10,12),Jumat!$A$7:$A$186,"&lt;="&amp;DATE(2026,10,18))</f>
        <v>0</v>
      </c>
      <c r="R19" s="45">
        <f>SUMIFS(Senin!$H$7:$H$146,Senin!$C$7:$C$146,$B19,Senin!$A$7:$A$146,"&gt;="&amp;DATE(2026,10,19),Senin!$A$7:$A$146,"&lt;="&amp;DATE(2026,10,25))+SUMIFS(Selasa!$H$7:$H$166,Selasa!$C$7:$C$166,$B19,Selasa!$A$7:$A$166,"&gt;="&amp;DATE(2026,10,19),Selasa!$A$7:$A$166,"&lt;="&amp;DATE(2026,10,25))+SUMIFS(Rabu!$H$7:$H$206,Rabu!$C$7:$C$206,$B19,Rabu!$A$7:$A$206,"&gt;="&amp;DATE(2026,10,19),Rabu!$A$7:$A$206,"&lt;="&amp;DATE(2026,10,25))+SUMIFS(Kamis!$H$7:$H$186,Kamis!$C$7:$C$186,$B19,Kamis!$A$7:$A$186,"&gt;="&amp;DATE(2026,10,19),Kamis!$A$7:$A$186,"&lt;="&amp;DATE(2026,10,25))+SUMIFS(Jumat!$H$7:$H$186,Jumat!$C$7:$C$186,$B19,Jumat!$A$7:$A$186,"&gt;="&amp;DATE(2026,10,19),Jumat!$A$7:$A$186,"&lt;="&amp;DATE(2026,10,25))</f>
        <v>0</v>
      </c>
      <c r="S19" s="45">
        <f>SUMIFS(Senin!$H$7:$H$146,Senin!$C$7:$C$146,$B19,Senin!$A$7:$A$146,"&gt;="&amp;DATE(2026,10,26),Senin!$A$7:$A$146,"&lt;="&amp;DATE(2026,11,1))+SUMIFS(Selasa!$H$7:$H$166,Selasa!$C$7:$C$166,$B19,Selasa!$A$7:$A$166,"&gt;="&amp;DATE(2026,10,26),Selasa!$A$7:$A$166,"&lt;="&amp;DATE(2026,11,1))+SUMIFS(Rabu!$H$7:$H$206,Rabu!$C$7:$C$206,$B19,Rabu!$A$7:$A$206,"&gt;="&amp;DATE(2026,10,26),Rabu!$A$7:$A$206,"&lt;="&amp;DATE(2026,11,1))+SUMIFS(Kamis!$H$7:$H$186,Kamis!$C$7:$C$186,$B19,Kamis!$A$7:$A$186,"&gt;="&amp;DATE(2026,10,26),Kamis!$A$7:$A$186,"&lt;="&amp;DATE(2026,11,1))+SUMIFS(Jumat!$H$7:$H$186,Jumat!$C$7:$C$186,$B19,Jumat!$A$7:$A$186,"&gt;="&amp;DATE(2026,10,26),Jumat!$A$7:$A$186,"&lt;="&amp;DATE(2026,11,1))</f>
        <v>0</v>
      </c>
      <c r="T19" s="45">
        <f>SUMIFS(Senin!$H$7:$H$146,Senin!$C$7:$C$146,$B19,Senin!$A$7:$A$146,"&gt;="&amp;DATE(2026,11,2),Senin!$A$7:$A$146,"&lt;="&amp;DATE(2026,11,8))+SUMIFS(Selasa!$H$7:$H$166,Selasa!$C$7:$C$166,$B19,Selasa!$A$7:$A$166,"&gt;="&amp;DATE(2026,11,2),Selasa!$A$7:$A$166,"&lt;="&amp;DATE(2026,11,8))+SUMIFS(Rabu!$H$7:$H$206,Rabu!$C$7:$C$206,$B19,Rabu!$A$7:$A$206,"&gt;="&amp;DATE(2026,11,2),Rabu!$A$7:$A$206,"&lt;="&amp;DATE(2026,11,8))+SUMIFS(Kamis!$H$7:$H$186,Kamis!$C$7:$C$186,$B19,Kamis!$A$7:$A$186,"&gt;="&amp;DATE(2026,11,2),Kamis!$A$7:$A$186,"&lt;="&amp;DATE(2026,11,8))+SUMIFS(Jumat!$H$7:$H$186,Jumat!$C$7:$C$186,$B19,Jumat!$A$7:$A$186,"&gt;="&amp;DATE(2026,11,2),Jumat!$A$7:$A$186,"&lt;="&amp;DATE(2026,11,8))</f>
        <v>0</v>
      </c>
      <c r="U19" s="45">
        <f>SUMIFS(Senin!$H$7:$H$146,Senin!$C$7:$C$146,$B19,Senin!$A$7:$A$146,"&gt;="&amp;DATE(2026,11,9),Senin!$A$7:$A$146,"&lt;="&amp;DATE(2026,11,15))+SUMIFS(Selasa!$H$7:$H$166,Selasa!$C$7:$C$166,$B19,Selasa!$A$7:$A$166,"&gt;="&amp;DATE(2026,11,9),Selasa!$A$7:$A$166,"&lt;="&amp;DATE(2026,11,15))+SUMIFS(Rabu!$H$7:$H$206,Rabu!$C$7:$C$206,$B19,Rabu!$A$7:$A$206,"&gt;="&amp;DATE(2026,11,9),Rabu!$A$7:$A$206,"&lt;="&amp;DATE(2026,11,15))+SUMIFS(Kamis!$H$7:$H$186,Kamis!$C$7:$C$186,$B19,Kamis!$A$7:$A$186,"&gt;="&amp;DATE(2026,11,9),Kamis!$A$7:$A$186,"&lt;="&amp;DATE(2026,11,15))+SUMIFS(Jumat!$H$7:$H$186,Jumat!$C$7:$C$186,$B19,Jumat!$A$7:$A$186,"&gt;="&amp;DATE(2026,11,9),Jumat!$A$7:$A$186,"&lt;="&amp;DATE(2026,11,15))</f>
        <v>0</v>
      </c>
      <c r="V19" s="45">
        <f>SUMIFS(Senin!$H$7:$H$146,Senin!$C$7:$C$146,$B19,Senin!$A$7:$A$146,"&gt;="&amp;DATE(2026,11,16),Senin!$A$7:$A$146,"&lt;="&amp;DATE(2026,11,22))+SUMIFS(Selasa!$H$7:$H$166,Selasa!$C$7:$C$166,$B19,Selasa!$A$7:$A$166,"&gt;="&amp;DATE(2026,11,16),Selasa!$A$7:$A$166,"&lt;="&amp;DATE(2026,11,22))+SUMIFS(Rabu!$H$7:$H$206,Rabu!$C$7:$C$206,$B19,Rabu!$A$7:$A$206,"&gt;="&amp;DATE(2026,11,16),Rabu!$A$7:$A$206,"&lt;="&amp;DATE(2026,11,22))+SUMIFS(Kamis!$H$7:$H$186,Kamis!$C$7:$C$186,$B19,Kamis!$A$7:$A$186,"&gt;="&amp;DATE(2026,11,16),Kamis!$A$7:$A$186,"&lt;="&amp;DATE(2026,11,22))+SUMIFS(Jumat!$H$7:$H$186,Jumat!$C$7:$C$186,$B19,Jumat!$A$7:$A$186,"&gt;="&amp;DATE(2026,11,16),Jumat!$A$7:$A$186,"&lt;="&amp;DATE(2026,11,22))</f>
        <v>0</v>
      </c>
      <c r="W19" s="45">
        <f>SUMIFS(Senin!$H$7:$H$146,Senin!$C$7:$C$146,$B19,Senin!$A$7:$A$146,"&gt;="&amp;DATE(2026,11,23),Senin!$A$7:$A$146,"&lt;="&amp;DATE(2026,11,29))+SUMIFS(Selasa!$H$7:$H$166,Selasa!$C$7:$C$166,$B19,Selasa!$A$7:$A$166,"&gt;="&amp;DATE(2026,11,23),Selasa!$A$7:$A$166,"&lt;="&amp;DATE(2026,11,29))+SUMIFS(Rabu!$H$7:$H$206,Rabu!$C$7:$C$206,$B19,Rabu!$A$7:$A$206,"&gt;="&amp;DATE(2026,11,23),Rabu!$A$7:$A$206,"&lt;="&amp;DATE(2026,11,29))+SUMIFS(Kamis!$H$7:$H$186,Kamis!$C$7:$C$186,$B19,Kamis!$A$7:$A$186,"&gt;="&amp;DATE(2026,11,23),Kamis!$A$7:$A$186,"&lt;="&amp;DATE(2026,11,29))+SUMIFS(Jumat!$H$7:$H$186,Jumat!$C$7:$C$186,$B19,Jumat!$A$7:$A$186,"&gt;="&amp;DATE(2026,11,23),Jumat!$A$7:$A$186,"&lt;="&amp;DATE(2026,11,29))</f>
        <v>0</v>
      </c>
      <c r="X19" s="45">
        <f>SUMIFS(Senin!$H$7:$H$146,Senin!$C$7:$C$146,$B19,Senin!$A$7:$A$146,"&gt;="&amp;DATE(2026,11,30),Senin!$A$7:$A$146,"&lt;="&amp;DATE(2026,12,6))+SUMIFS(Selasa!$H$7:$H$166,Selasa!$C$7:$C$166,$B19,Selasa!$A$7:$A$166,"&gt;="&amp;DATE(2026,11,30),Selasa!$A$7:$A$166,"&lt;="&amp;DATE(2026,12,6))+SUMIFS(Rabu!$H$7:$H$206,Rabu!$C$7:$C$206,$B19,Rabu!$A$7:$A$206,"&gt;="&amp;DATE(2026,11,30),Rabu!$A$7:$A$206,"&lt;="&amp;DATE(2026,12,6))+SUMIFS(Kamis!$H$7:$H$186,Kamis!$C$7:$C$186,$B19,Kamis!$A$7:$A$186,"&gt;="&amp;DATE(2026,11,30),Kamis!$A$7:$A$186,"&lt;="&amp;DATE(2026,12,6))+SUMIFS(Jumat!$H$7:$H$186,Jumat!$C$7:$C$186,$B19,Jumat!$A$7:$A$186,"&gt;="&amp;DATE(2026,11,30),Jumat!$A$7:$A$186,"&lt;="&amp;DATE(2026,12,6))</f>
        <v>0</v>
      </c>
      <c r="Y19" s="45">
        <f>SUMIFS(Senin!$H$7:$H$146,Senin!$C$7:$C$146,$B19,Senin!$A$7:$A$146,"&gt;="&amp;DATE(2026,12,7),Senin!$A$7:$A$146,"&lt;="&amp;DATE(2026,12,13))+SUMIFS(Selasa!$H$7:$H$166,Selasa!$C$7:$C$166,$B19,Selasa!$A$7:$A$166,"&gt;="&amp;DATE(2026,12,7),Selasa!$A$7:$A$166,"&lt;="&amp;DATE(2026,12,13))+SUMIFS(Rabu!$H$7:$H$206,Rabu!$C$7:$C$206,$B19,Rabu!$A$7:$A$206,"&gt;="&amp;DATE(2026,12,7),Rabu!$A$7:$A$206,"&lt;="&amp;DATE(2026,12,13))+SUMIFS(Kamis!$H$7:$H$186,Kamis!$C$7:$C$186,$B19,Kamis!$A$7:$A$186,"&gt;="&amp;DATE(2026,12,7),Kamis!$A$7:$A$186,"&lt;="&amp;DATE(2026,12,13))+SUMIFS(Jumat!$H$7:$H$186,Jumat!$C$7:$C$186,$B19,Jumat!$A$7:$A$186,"&gt;="&amp;DATE(2026,12,7),Jumat!$A$7:$A$186,"&lt;="&amp;DATE(2026,12,13))</f>
        <v>0</v>
      </c>
      <c r="Z19" s="45">
        <f>SUMIFS(Senin!$H$7:$H$146,Senin!$C$7:$C$146,$B19,Senin!$A$7:$A$146,"&gt;="&amp;DATE(2026,12,14),Senin!$A$7:$A$146,"&lt;="&amp;DATE(2026,12,20))+SUMIFS(Selasa!$H$7:$H$166,Selasa!$C$7:$C$166,$B19,Selasa!$A$7:$A$166,"&gt;="&amp;DATE(2026,12,14),Selasa!$A$7:$A$166,"&lt;="&amp;DATE(2026,12,20))+SUMIFS(Rabu!$H$7:$H$206,Rabu!$C$7:$C$206,$B19,Rabu!$A$7:$A$206,"&gt;="&amp;DATE(2026,12,14),Rabu!$A$7:$A$206,"&lt;="&amp;DATE(2026,12,20))+SUMIFS(Kamis!$H$7:$H$186,Kamis!$C$7:$C$186,$B19,Kamis!$A$7:$A$186,"&gt;="&amp;DATE(2026,12,14),Kamis!$A$7:$A$186,"&lt;="&amp;DATE(2026,12,20))+SUMIFS(Jumat!$H$7:$H$186,Jumat!$C$7:$C$186,$B19,Jumat!$A$7:$A$186,"&gt;="&amp;DATE(2026,12,14),Jumat!$A$7:$A$186,"&lt;="&amp;DATE(2026,12,20))</f>
        <v>0</v>
      </c>
      <c r="AA19" s="45">
        <f>SUMIFS(Senin!$H$7:$H$146,Senin!$C$7:$C$146,$B19,Senin!$A$7:$A$146,"&gt;="&amp;DATE(2026,12,21),Senin!$A$7:$A$146,"&lt;="&amp;DATE(2026,12,27))+SUMIFS(Selasa!$H$7:$H$166,Selasa!$C$7:$C$166,$B19,Selasa!$A$7:$A$166,"&gt;="&amp;DATE(2026,12,21),Selasa!$A$7:$A$166,"&lt;="&amp;DATE(2026,12,27))+SUMIFS(Rabu!$H$7:$H$206,Rabu!$C$7:$C$206,$B19,Rabu!$A$7:$A$206,"&gt;="&amp;DATE(2026,12,21),Rabu!$A$7:$A$206,"&lt;="&amp;DATE(2026,12,27))+SUMIFS(Kamis!$H$7:$H$186,Kamis!$C$7:$C$186,$B19,Kamis!$A$7:$A$186,"&gt;="&amp;DATE(2026,12,21),Kamis!$A$7:$A$186,"&lt;="&amp;DATE(2026,12,27))+SUMIFS(Jumat!$H$7:$H$186,Jumat!$C$7:$C$186,$B19,Jumat!$A$7:$A$186,"&gt;="&amp;DATE(2026,12,21),Jumat!$A$7:$A$186,"&lt;="&amp;DATE(2026,12,27))</f>
        <v>0</v>
      </c>
      <c r="AB19" s="45">
        <f>SUMIFS(Senin!$H$7:$H$146,Senin!$C$7:$C$146,$B19,Senin!$A$7:$A$146,"&gt;="&amp;DATE(2026,12,28),Senin!$A$7:$A$146,"&lt;="&amp;DATE(2027,1,3))+SUMIFS(Selasa!$H$7:$H$166,Selasa!$C$7:$C$166,$B19,Selasa!$A$7:$A$166,"&gt;="&amp;DATE(2026,12,28),Selasa!$A$7:$A$166,"&lt;="&amp;DATE(2027,1,3))+SUMIFS(Rabu!$H$7:$H$206,Rabu!$C$7:$C$206,$B19,Rabu!$A$7:$A$206,"&gt;="&amp;DATE(2026,12,28),Rabu!$A$7:$A$206,"&lt;="&amp;DATE(2027,1,3))+SUMIFS(Kamis!$H$7:$H$186,Kamis!$C$7:$C$186,$B19,Kamis!$A$7:$A$186,"&gt;="&amp;DATE(2026,12,28),Kamis!$A$7:$A$186,"&lt;="&amp;DATE(2027,1,3))+SUMIFS(Jumat!$H$7:$H$186,Jumat!$C$7:$C$186,$B19,Jumat!$A$7:$A$186,"&gt;="&amp;DATE(2026,12,28),Jumat!$A$7:$A$186,"&lt;="&amp;DATE(2027,1,3))</f>
        <v>0</v>
      </c>
      <c r="AC19" s="45">
        <f>SUMIFS(Senin!$H$7:$H$146,Senin!$C$7:$C$146,$B19,Senin!$A$7:$A$146,"&gt;="&amp;DATE(2027,1,4),Senin!$A$7:$A$146,"&lt;="&amp;DATE(2027,1,10))+SUMIFS(Selasa!$H$7:$H$166,Selasa!$C$7:$C$166,$B19,Selasa!$A$7:$A$166,"&gt;="&amp;DATE(2027,1,4),Selasa!$A$7:$A$166,"&lt;="&amp;DATE(2027,1,10))+SUMIFS(Rabu!$H$7:$H$206,Rabu!$C$7:$C$206,$B19,Rabu!$A$7:$A$206,"&gt;="&amp;DATE(2027,1,4),Rabu!$A$7:$A$206,"&lt;="&amp;DATE(2027,1,10))+SUMIFS(Kamis!$H$7:$H$186,Kamis!$C$7:$C$186,$B19,Kamis!$A$7:$A$186,"&gt;="&amp;DATE(2027,1,4),Kamis!$A$7:$A$186,"&lt;="&amp;DATE(2027,1,10))+SUMIFS(Jumat!$H$7:$H$186,Jumat!$C$7:$C$186,$B19,Jumat!$A$7:$A$186,"&gt;="&amp;DATE(2027,1,4),Jumat!$A$7:$A$186,"&lt;="&amp;DATE(2027,1,10))</f>
        <v>0</v>
      </c>
      <c r="AD19" s="45">
        <f>SUMIFS(Senin!$H$7:$H$146,Senin!$C$7:$C$146,$B19,Senin!$A$7:$A$146,"&gt;="&amp;DATE(2027,1,11),Senin!$A$7:$A$146,"&lt;="&amp;DATE(2027,1,17))+SUMIFS(Selasa!$H$7:$H$166,Selasa!$C$7:$C$166,$B19,Selasa!$A$7:$A$166,"&gt;="&amp;DATE(2027,1,11),Selasa!$A$7:$A$166,"&lt;="&amp;DATE(2027,1,17))+SUMIFS(Rabu!$H$7:$H$206,Rabu!$C$7:$C$206,$B19,Rabu!$A$7:$A$206,"&gt;="&amp;DATE(2027,1,11),Rabu!$A$7:$A$206,"&lt;="&amp;DATE(2027,1,17))+SUMIFS(Kamis!$H$7:$H$186,Kamis!$C$7:$C$186,$B19,Kamis!$A$7:$A$186,"&gt;="&amp;DATE(2027,1,11),Kamis!$A$7:$A$186,"&lt;="&amp;DATE(2027,1,17))+SUMIFS(Jumat!$H$7:$H$186,Jumat!$C$7:$C$186,$B19,Jumat!$A$7:$A$186,"&gt;="&amp;DATE(2027,1,11),Jumat!$A$7:$A$186,"&lt;="&amp;DATE(2027,1,17))</f>
        <v>0</v>
      </c>
    </row>
    <row r="20" ht="15.75" customHeight="1">
      <c r="A20" s="27">
        <v>17.0</v>
      </c>
      <c r="B20" s="61" t="s">
        <v>56</v>
      </c>
      <c r="C20" s="41">
        <f>COUNTIFS(Senin!$C$7:$C$146,$B20,Senin!$G$7:$G$146,"Ya",Senin!$E$7:$E$146,"&lt;&gt;")+COUNTIFS(Selasa!$C$7:$C$166,$B20,Selasa!$G$7:$G$166,"Ya",Selasa!$E$7:$E$166,"&lt;&gt;")+COUNTIFS(Rabu!$C$7:$C$206,$B20,Rabu!$G$7:$G$206,"Ya",Rabu!$E$7:$E$206,"&lt;&gt;")+COUNTIFS(Kamis!$C$7:$C$186,$B20,Kamis!$G$7:$G$186,"Ya",Kamis!$E$7:$E$186,"&lt;&gt;")+COUNTIFS(Jumat!$C$7:$C$186,$B20,Jumat!$G$7:$G$186,"Ya",Jumat!$E$7:$E$186,"&lt;&gt;")</f>
        <v>0</v>
      </c>
      <c r="D20" s="41">
        <f>COUNTIFS(Senin!$C$7:$C$146,$B20,Senin!$G$7:$G$146,"Ya",Senin!$E$7:$E$146,"")+COUNTIFS(Selasa!$C$7:$C$166,$B20,Selasa!$G$7:$G$166,"Ya",Selasa!$E$7:$E$166,"")+COUNTIFS(Rabu!$C$7:$C$206,$B20,Rabu!$G$7:$G$206,"Ya",Rabu!$E$7:$E$206,"")+COUNTIFS(Kamis!$C$7:$C$186,$B20,Kamis!$G$7:$G$186,"Ya",Kamis!$E$7:$E$186,"")+COUNTIFS(Jumat!$C$7:$C$186,$B20,Jumat!$G$7:$G$186,"Ya",Jumat!$E$7:$E$186,"")</f>
        <v>0</v>
      </c>
      <c r="E20" s="45">
        <f>SUMIFS(Senin!$H$7:$H$146,Senin!$C$7:$C$146,$B20,Senin!$A$7:$A$146,"&gt;="&amp;DATE(2026,8,1),Senin!$A$7:$A$146,"&lt;="&amp;DATE(2026,12,31))+SUMIFS(Selasa!$H$7:$H$166,Selasa!$C$7:$C$166,$B20,Selasa!$A$7:$A$166,"&gt;="&amp;DATE(2026,8,1),Selasa!$A$7:$A$166,"&lt;="&amp;DATE(2026,12,31))+SUMIFS(Rabu!$H$7:$H$206,Rabu!$C$7:$C$206,$B20,Rabu!$A$7:$A$206,"&gt;="&amp;DATE(2026,8,1),Rabu!$A$7:$A$206,"&lt;="&amp;DATE(2026,12,31))+SUMIFS(Kamis!$H$7:$H$186,Kamis!$C$7:$C$186,$B20,Kamis!$A$7:$A$186,"&gt;="&amp;DATE(2026,8,1),Kamis!$A$7:$A$186,"&lt;="&amp;DATE(2026,12,31))+SUMIFS(Jumat!$H$7:$H$186,Jumat!$C$7:$C$186,$B20,Jumat!$A$7:$A$186,"&gt;="&amp;DATE(2026,8,1),Jumat!$A$7:$A$186,"&lt;="&amp;DATE(2026,12,31))</f>
        <v>0</v>
      </c>
      <c r="F20" s="45">
        <f>SUMIFS(Senin!$H$7:$H$146,Senin!$C$7:$C$146,$B20,Senin!$A$7:$A$146,"&gt;="&amp;DATE(2026,8,1),Senin!$A$7:$A$146,"&lt;="&amp;DATE(2026,8,31))+SUMIFS(Selasa!$H$7:$H$166,Selasa!$C$7:$C$166,$B20,Selasa!$A$7:$A$166,"&gt;="&amp;DATE(2026,8,1),Selasa!$A$7:$A$166,"&lt;="&amp;DATE(2026,8,31))+SUMIFS(Rabu!$H$7:$H$206,Rabu!$C$7:$C$206,$B20,Rabu!$A$7:$A$206,"&gt;="&amp;DATE(2026,8,1),Rabu!$A$7:$A$206,"&lt;="&amp;DATE(2026,8,31))+SUMIFS(Kamis!$H$7:$H$186,Kamis!$C$7:$C$186,$B20,Kamis!$A$7:$A$186,"&gt;="&amp;DATE(2026,8,1),Kamis!$A$7:$A$186,"&lt;="&amp;DATE(2026,8,31))+SUMIFS(Jumat!$H$7:$H$186,Jumat!$C$7:$C$186,$B20,Jumat!$A$7:$A$186,"&gt;="&amp;DATE(2026,8,1),Jumat!$A$7:$A$186,"&lt;="&amp;DATE(2026,8,31))</f>
        <v>0</v>
      </c>
      <c r="G20" s="45">
        <f>SUMIFS(Senin!$H$7:$H$146,Senin!$C$7:$C$146,$B20,Senin!$A$7:$A$146,"&gt;="&amp;DATE(2026,9,1),Senin!$A$7:$A$146,"&lt;="&amp;DATE(2026,9,30))+SUMIFS(Selasa!$H$7:$H$166,Selasa!$C$7:$C$166,$B20,Selasa!$A$7:$A$166,"&gt;="&amp;DATE(2026,9,1),Selasa!$A$7:$A$166,"&lt;="&amp;DATE(2026,9,30))+SUMIFS(Rabu!$H$7:$H$206,Rabu!$C$7:$C$206,$B20,Rabu!$A$7:$A$206,"&gt;="&amp;DATE(2026,9,1),Rabu!$A$7:$A$206,"&lt;="&amp;DATE(2026,9,30))+SUMIFS(Kamis!$H$7:$H$186,Kamis!$C$7:$C$186,$B20,Kamis!$A$7:$A$186,"&gt;="&amp;DATE(2026,9,1),Kamis!$A$7:$A$186,"&lt;="&amp;DATE(2026,9,30))+SUMIFS(Jumat!$H$7:$H$186,Jumat!$C$7:$C$186,$B20,Jumat!$A$7:$A$186,"&gt;="&amp;DATE(2026,9,1),Jumat!$A$7:$A$186,"&lt;="&amp;DATE(2026,9,30))</f>
        <v>0</v>
      </c>
      <c r="H20" s="45">
        <f>SUMIFS(Senin!$H$7:$H$146,Senin!$C$7:$C$146,$B20,Senin!$A$7:$A$146,"&gt;="&amp;DATE(2026,10,1),Senin!$A$7:$A$146,"&lt;="&amp;DATE(2026,10,31))+SUMIFS(Selasa!$H$7:$H$166,Selasa!$C$7:$C$166,$B20,Selasa!$A$7:$A$166,"&gt;="&amp;DATE(2026,10,1),Selasa!$A$7:$A$166,"&lt;="&amp;DATE(2026,10,31))+SUMIFS(Rabu!$H$7:$H$206,Rabu!$C$7:$C$206,$B20,Rabu!$A$7:$A$206,"&gt;="&amp;DATE(2026,10,1),Rabu!$A$7:$A$206,"&lt;="&amp;DATE(2026,10,31))+SUMIFS(Kamis!$H$7:$H$186,Kamis!$C$7:$C$186,$B20,Kamis!$A$7:$A$186,"&gt;="&amp;DATE(2026,10,1),Kamis!$A$7:$A$186,"&lt;="&amp;DATE(2026,10,31))+SUMIFS(Jumat!$H$7:$H$186,Jumat!$C$7:$C$186,$B20,Jumat!$A$7:$A$186,"&gt;="&amp;DATE(2026,10,1),Jumat!$A$7:$A$186,"&lt;="&amp;DATE(2026,10,31))</f>
        <v>0</v>
      </c>
      <c r="I20" s="45">
        <f>SUMIFS(Senin!$H$7:$H$146,Senin!$C$7:$C$146,$B20,Senin!$A$7:$A$146,"&gt;="&amp;DATE(2026,11,1),Senin!$A$7:$A$146,"&lt;="&amp;DATE(2026,11,30))+SUMIFS(Selasa!$H$7:$H$166,Selasa!$C$7:$C$166,$B20,Selasa!$A$7:$A$166,"&gt;="&amp;DATE(2026,11,1),Selasa!$A$7:$A$166,"&lt;="&amp;DATE(2026,11,30))+SUMIFS(Rabu!$H$7:$H$206,Rabu!$C$7:$C$206,$B20,Rabu!$A$7:$A$206,"&gt;="&amp;DATE(2026,11,1),Rabu!$A$7:$A$206,"&lt;="&amp;DATE(2026,11,30))+SUMIFS(Kamis!$H$7:$H$186,Kamis!$C$7:$C$186,$B20,Kamis!$A$7:$A$186,"&gt;="&amp;DATE(2026,11,1),Kamis!$A$7:$A$186,"&lt;="&amp;DATE(2026,11,30))+SUMIFS(Jumat!$H$7:$H$186,Jumat!$C$7:$C$186,$B20,Jumat!$A$7:$A$186,"&gt;="&amp;DATE(2026,11,1),Jumat!$A$7:$A$186,"&lt;="&amp;DATE(2026,11,30))</f>
        <v>0</v>
      </c>
      <c r="J20" s="45">
        <f>SUMIFS(Senin!$H$7:$H$146,Senin!$C$7:$C$146,$B20,Senin!$A$7:$A$146,"&gt;="&amp;DATE(2026,12,1),Senin!$A$7:$A$146,"&lt;="&amp;DATE(2026,12,31))+SUMIFS(Selasa!$H$7:$H$166,Selasa!$C$7:$C$166,$B20,Selasa!$A$7:$A$166,"&gt;="&amp;DATE(2026,12,1),Selasa!$A$7:$A$166,"&lt;="&amp;DATE(2026,12,31))+SUMIFS(Rabu!$H$7:$H$206,Rabu!$C$7:$C$206,$B20,Rabu!$A$7:$A$206,"&gt;="&amp;DATE(2026,12,1),Rabu!$A$7:$A$206,"&lt;="&amp;DATE(2026,12,31))+SUMIFS(Kamis!$H$7:$H$186,Kamis!$C$7:$C$186,$B20,Kamis!$A$7:$A$186,"&gt;="&amp;DATE(2026,12,1),Kamis!$A$7:$A$186,"&lt;="&amp;DATE(2026,12,31))+SUMIFS(Jumat!$H$7:$H$186,Jumat!$C$7:$C$186,$B20,Jumat!$A$7:$A$186,"&gt;="&amp;DATE(2026,12,1),Jumat!$A$7:$A$186,"&lt;="&amp;DATE(2026,12,31))</f>
        <v>0</v>
      </c>
      <c r="K20" s="45">
        <f>SUMIFS(Senin!$H$7:$H$146,Senin!$C$7:$C$146,$B20,Senin!$A$7:$A$146,"&gt;="&amp;DATE(2026,8,31),Senin!$A$7:$A$146,"&lt;="&amp;DATE(2026,9,6))+SUMIFS(Selasa!$H$7:$H$166,Selasa!$C$7:$C$166,$B20,Selasa!$A$7:$A$166,"&gt;="&amp;DATE(2026,8,31),Selasa!$A$7:$A$166,"&lt;="&amp;DATE(2026,9,6))+SUMIFS(Rabu!$H$7:$H$206,Rabu!$C$7:$C$206,$B20,Rabu!$A$7:$A$206,"&gt;="&amp;DATE(2026,8,31),Rabu!$A$7:$A$206,"&lt;="&amp;DATE(2026,9,6))+SUMIFS(Kamis!$H$7:$H$186,Kamis!$C$7:$C$186,$B20,Kamis!$A$7:$A$186,"&gt;="&amp;DATE(2026,8,31),Kamis!$A$7:$A$186,"&lt;="&amp;DATE(2026,9,6))+SUMIFS(Jumat!$H$7:$H$186,Jumat!$C$7:$C$186,$B20,Jumat!$A$7:$A$186,"&gt;="&amp;DATE(2026,8,31),Jumat!$A$7:$A$186,"&lt;="&amp;DATE(2026,9,6))</f>
        <v>0</v>
      </c>
      <c r="L20" s="45">
        <f>SUMIFS(Senin!$H$7:$H$146,Senin!$C$7:$C$146,$B20,Senin!$A$7:$A$146,"&gt;="&amp;DATE(2026,9,7),Senin!$A$7:$A$146,"&lt;="&amp;DATE(2026,9,13))+SUMIFS(Selasa!$H$7:$H$166,Selasa!$C$7:$C$166,$B20,Selasa!$A$7:$A$166,"&gt;="&amp;DATE(2026,9,7),Selasa!$A$7:$A$166,"&lt;="&amp;DATE(2026,9,13))+SUMIFS(Rabu!$H$7:$H$206,Rabu!$C$7:$C$206,$B20,Rabu!$A$7:$A$206,"&gt;="&amp;DATE(2026,9,7),Rabu!$A$7:$A$206,"&lt;="&amp;DATE(2026,9,13))+SUMIFS(Kamis!$H$7:$H$186,Kamis!$C$7:$C$186,$B20,Kamis!$A$7:$A$186,"&gt;="&amp;DATE(2026,9,7),Kamis!$A$7:$A$186,"&lt;="&amp;DATE(2026,9,13))+SUMIFS(Jumat!$H$7:$H$186,Jumat!$C$7:$C$186,$B20,Jumat!$A$7:$A$186,"&gt;="&amp;DATE(2026,9,7),Jumat!$A$7:$A$186,"&lt;="&amp;DATE(2026,9,13))</f>
        <v>0</v>
      </c>
      <c r="M20" s="45">
        <f>SUMIFS(Senin!$H$7:$H$146,Senin!$C$7:$C$146,$B20,Senin!$A$7:$A$146,"&gt;="&amp;DATE(2026,9,14),Senin!$A$7:$A$146,"&lt;="&amp;DATE(2026,9,20))+SUMIFS(Selasa!$H$7:$H$166,Selasa!$C$7:$C$166,$B20,Selasa!$A$7:$A$166,"&gt;="&amp;DATE(2026,9,14),Selasa!$A$7:$A$166,"&lt;="&amp;DATE(2026,9,20))+SUMIFS(Rabu!$H$7:$H$206,Rabu!$C$7:$C$206,$B20,Rabu!$A$7:$A$206,"&gt;="&amp;DATE(2026,9,14),Rabu!$A$7:$A$206,"&lt;="&amp;DATE(2026,9,20))+SUMIFS(Kamis!$H$7:$H$186,Kamis!$C$7:$C$186,$B20,Kamis!$A$7:$A$186,"&gt;="&amp;DATE(2026,9,14),Kamis!$A$7:$A$186,"&lt;="&amp;DATE(2026,9,20))+SUMIFS(Jumat!$H$7:$H$186,Jumat!$C$7:$C$186,$B20,Jumat!$A$7:$A$186,"&gt;="&amp;DATE(2026,9,14),Jumat!$A$7:$A$186,"&lt;="&amp;DATE(2026,9,20))</f>
        <v>0</v>
      </c>
      <c r="N20" s="45">
        <f>SUMIFS(Senin!$H$7:$H$146,Senin!$C$7:$C$146,$B20,Senin!$A$7:$A$146,"&gt;="&amp;DATE(2026,9,21),Senin!$A$7:$A$146,"&lt;="&amp;DATE(2026,9,27))+SUMIFS(Selasa!$H$7:$H$166,Selasa!$C$7:$C$166,$B20,Selasa!$A$7:$A$166,"&gt;="&amp;DATE(2026,9,21),Selasa!$A$7:$A$166,"&lt;="&amp;DATE(2026,9,27))+SUMIFS(Rabu!$H$7:$H$206,Rabu!$C$7:$C$206,$B20,Rabu!$A$7:$A$206,"&gt;="&amp;DATE(2026,9,21),Rabu!$A$7:$A$206,"&lt;="&amp;DATE(2026,9,27))+SUMIFS(Kamis!$H$7:$H$186,Kamis!$C$7:$C$186,$B20,Kamis!$A$7:$A$186,"&gt;="&amp;DATE(2026,9,21),Kamis!$A$7:$A$186,"&lt;="&amp;DATE(2026,9,27))+SUMIFS(Jumat!$H$7:$H$186,Jumat!$C$7:$C$186,$B20,Jumat!$A$7:$A$186,"&gt;="&amp;DATE(2026,9,21),Jumat!$A$7:$A$186,"&lt;="&amp;DATE(2026,9,27))</f>
        <v>0</v>
      </c>
      <c r="O20" s="45">
        <f>SUMIFS(Senin!$H$7:$H$146,Senin!$C$7:$C$146,$B20,Senin!$A$7:$A$146,"&gt;="&amp;DATE(2026,9,28),Senin!$A$7:$A$146,"&lt;="&amp;DATE(2026,10,4))+SUMIFS(Selasa!$H$7:$H$166,Selasa!$C$7:$C$166,$B20,Selasa!$A$7:$A$166,"&gt;="&amp;DATE(2026,9,28),Selasa!$A$7:$A$166,"&lt;="&amp;DATE(2026,10,4))+SUMIFS(Rabu!$H$7:$H$206,Rabu!$C$7:$C$206,$B20,Rabu!$A$7:$A$206,"&gt;="&amp;DATE(2026,9,28),Rabu!$A$7:$A$206,"&lt;="&amp;DATE(2026,10,4))+SUMIFS(Kamis!$H$7:$H$186,Kamis!$C$7:$C$186,$B20,Kamis!$A$7:$A$186,"&gt;="&amp;DATE(2026,9,28),Kamis!$A$7:$A$186,"&lt;="&amp;DATE(2026,10,4))+SUMIFS(Jumat!$H$7:$H$186,Jumat!$C$7:$C$186,$B20,Jumat!$A$7:$A$186,"&gt;="&amp;DATE(2026,9,28),Jumat!$A$7:$A$186,"&lt;="&amp;DATE(2026,10,4))</f>
        <v>0</v>
      </c>
      <c r="P20" s="45">
        <f>SUMIFS(Senin!$H$7:$H$146,Senin!$C$7:$C$146,$B20,Senin!$A$7:$A$146,"&gt;="&amp;DATE(2026,10,5),Senin!$A$7:$A$146,"&lt;="&amp;DATE(2026,10,11))+SUMIFS(Selasa!$H$7:$H$166,Selasa!$C$7:$C$166,$B20,Selasa!$A$7:$A$166,"&gt;="&amp;DATE(2026,10,5),Selasa!$A$7:$A$166,"&lt;="&amp;DATE(2026,10,11))+SUMIFS(Rabu!$H$7:$H$206,Rabu!$C$7:$C$206,$B20,Rabu!$A$7:$A$206,"&gt;="&amp;DATE(2026,10,5),Rabu!$A$7:$A$206,"&lt;="&amp;DATE(2026,10,11))+SUMIFS(Kamis!$H$7:$H$186,Kamis!$C$7:$C$186,$B20,Kamis!$A$7:$A$186,"&gt;="&amp;DATE(2026,10,5),Kamis!$A$7:$A$186,"&lt;="&amp;DATE(2026,10,11))+SUMIFS(Jumat!$H$7:$H$186,Jumat!$C$7:$C$186,$B20,Jumat!$A$7:$A$186,"&gt;="&amp;DATE(2026,10,5),Jumat!$A$7:$A$186,"&lt;="&amp;DATE(2026,10,11))</f>
        <v>0</v>
      </c>
      <c r="Q20" s="45">
        <f>SUMIFS(Senin!$H$7:$H$146,Senin!$C$7:$C$146,$B20,Senin!$A$7:$A$146,"&gt;="&amp;DATE(2026,10,12),Senin!$A$7:$A$146,"&lt;="&amp;DATE(2026,10,18))+SUMIFS(Selasa!$H$7:$H$166,Selasa!$C$7:$C$166,$B20,Selasa!$A$7:$A$166,"&gt;="&amp;DATE(2026,10,12),Selasa!$A$7:$A$166,"&lt;="&amp;DATE(2026,10,18))+SUMIFS(Rabu!$H$7:$H$206,Rabu!$C$7:$C$206,$B20,Rabu!$A$7:$A$206,"&gt;="&amp;DATE(2026,10,12),Rabu!$A$7:$A$206,"&lt;="&amp;DATE(2026,10,18))+SUMIFS(Kamis!$H$7:$H$186,Kamis!$C$7:$C$186,$B20,Kamis!$A$7:$A$186,"&gt;="&amp;DATE(2026,10,12),Kamis!$A$7:$A$186,"&lt;="&amp;DATE(2026,10,18))+SUMIFS(Jumat!$H$7:$H$186,Jumat!$C$7:$C$186,$B20,Jumat!$A$7:$A$186,"&gt;="&amp;DATE(2026,10,12),Jumat!$A$7:$A$186,"&lt;="&amp;DATE(2026,10,18))</f>
        <v>0</v>
      </c>
      <c r="R20" s="45">
        <f>SUMIFS(Senin!$H$7:$H$146,Senin!$C$7:$C$146,$B20,Senin!$A$7:$A$146,"&gt;="&amp;DATE(2026,10,19),Senin!$A$7:$A$146,"&lt;="&amp;DATE(2026,10,25))+SUMIFS(Selasa!$H$7:$H$166,Selasa!$C$7:$C$166,$B20,Selasa!$A$7:$A$166,"&gt;="&amp;DATE(2026,10,19),Selasa!$A$7:$A$166,"&lt;="&amp;DATE(2026,10,25))+SUMIFS(Rabu!$H$7:$H$206,Rabu!$C$7:$C$206,$B20,Rabu!$A$7:$A$206,"&gt;="&amp;DATE(2026,10,19),Rabu!$A$7:$A$206,"&lt;="&amp;DATE(2026,10,25))+SUMIFS(Kamis!$H$7:$H$186,Kamis!$C$7:$C$186,$B20,Kamis!$A$7:$A$186,"&gt;="&amp;DATE(2026,10,19),Kamis!$A$7:$A$186,"&lt;="&amp;DATE(2026,10,25))+SUMIFS(Jumat!$H$7:$H$186,Jumat!$C$7:$C$186,$B20,Jumat!$A$7:$A$186,"&gt;="&amp;DATE(2026,10,19),Jumat!$A$7:$A$186,"&lt;="&amp;DATE(2026,10,25))</f>
        <v>0</v>
      </c>
      <c r="S20" s="45">
        <f>SUMIFS(Senin!$H$7:$H$146,Senin!$C$7:$C$146,$B20,Senin!$A$7:$A$146,"&gt;="&amp;DATE(2026,10,26),Senin!$A$7:$A$146,"&lt;="&amp;DATE(2026,11,1))+SUMIFS(Selasa!$H$7:$H$166,Selasa!$C$7:$C$166,$B20,Selasa!$A$7:$A$166,"&gt;="&amp;DATE(2026,10,26),Selasa!$A$7:$A$166,"&lt;="&amp;DATE(2026,11,1))+SUMIFS(Rabu!$H$7:$H$206,Rabu!$C$7:$C$206,$B20,Rabu!$A$7:$A$206,"&gt;="&amp;DATE(2026,10,26),Rabu!$A$7:$A$206,"&lt;="&amp;DATE(2026,11,1))+SUMIFS(Kamis!$H$7:$H$186,Kamis!$C$7:$C$186,$B20,Kamis!$A$7:$A$186,"&gt;="&amp;DATE(2026,10,26),Kamis!$A$7:$A$186,"&lt;="&amp;DATE(2026,11,1))+SUMIFS(Jumat!$H$7:$H$186,Jumat!$C$7:$C$186,$B20,Jumat!$A$7:$A$186,"&gt;="&amp;DATE(2026,10,26),Jumat!$A$7:$A$186,"&lt;="&amp;DATE(2026,11,1))</f>
        <v>0</v>
      </c>
      <c r="T20" s="45">
        <f>SUMIFS(Senin!$H$7:$H$146,Senin!$C$7:$C$146,$B20,Senin!$A$7:$A$146,"&gt;="&amp;DATE(2026,11,2),Senin!$A$7:$A$146,"&lt;="&amp;DATE(2026,11,8))+SUMIFS(Selasa!$H$7:$H$166,Selasa!$C$7:$C$166,$B20,Selasa!$A$7:$A$166,"&gt;="&amp;DATE(2026,11,2),Selasa!$A$7:$A$166,"&lt;="&amp;DATE(2026,11,8))+SUMIFS(Rabu!$H$7:$H$206,Rabu!$C$7:$C$206,$B20,Rabu!$A$7:$A$206,"&gt;="&amp;DATE(2026,11,2),Rabu!$A$7:$A$206,"&lt;="&amp;DATE(2026,11,8))+SUMIFS(Kamis!$H$7:$H$186,Kamis!$C$7:$C$186,$B20,Kamis!$A$7:$A$186,"&gt;="&amp;DATE(2026,11,2),Kamis!$A$7:$A$186,"&lt;="&amp;DATE(2026,11,8))+SUMIFS(Jumat!$H$7:$H$186,Jumat!$C$7:$C$186,$B20,Jumat!$A$7:$A$186,"&gt;="&amp;DATE(2026,11,2),Jumat!$A$7:$A$186,"&lt;="&amp;DATE(2026,11,8))</f>
        <v>0</v>
      </c>
      <c r="U20" s="45">
        <f>SUMIFS(Senin!$H$7:$H$146,Senin!$C$7:$C$146,$B20,Senin!$A$7:$A$146,"&gt;="&amp;DATE(2026,11,9),Senin!$A$7:$A$146,"&lt;="&amp;DATE(2026,11,15))+SUMIFS(Selasa!$H$7:$H$166,Selasa!$C$7:$C$166,$B20,Selasa!$A$7:$A$166,"&gt;="&amp;DATE(2026,11,9),Selasa!$A$7:$A$166,"&lt;="&amp;DATE(2026,11,15))+SUMIFS(Rabu!$H$7:$H$206,Rabu!$C$7:$C$206,$B20,Rabu!$A$7:$A$206,"&gt;="&amp;DATE(2026,11,9),Rabu!$A$7:$A$206,"&lt;="&amp;DATE(2026,11,15))+SUMIFS(Kamis!$H$7:$H$186,Kamis!$C$7:$C$186,$B20,Kamis!$A$7:$A$186,"&gt;="&amp;DATE(2026,11,9),Kamis!$A$7:$A$186,"&lt;="&amp;DATE(2026,11,15))+SUMIFS(Jumat!$H$7:$H$186,Jumat!$C$7:$C$186,$B20,Jumat!$A$7:$A$186,"&gt;="&amp;DATE(2026,11,9),Jumat!$A$7:$A$186,"&lt;="&amp;DATE(2026,11,15))</f>
        <v>0</v>
      </c>
      <c r="V20" s="45">
        <f>SUMIFS(Senin!$H$7:$H$146,Senin!$C$7:$C$146,$B20,Senin!$A$7:$A$146,"&gt;="&amp;DATE(2026,11,16),Senin!$A$7:$A$146,"&lt;="&amp;DATE(2026,11,22))+SUMIFS(Selasa!$H$7:$H$166,Selasa!$C$7:$C$166,$B20,Selasa!$A$7:$A$166,"&gt;="&amp;DATE(2026,11,16),Selasa!$A$7:$A$166,"&lt;="&amp;DATE(2026,11,22))+SUMIFS(Rabu!$H$7:$H$206,Rabu!$C$7:$C$206,$B20,Rabu!$A$7:$A$206,"&gt;="&amp;DATE(2026,11,16),Rabu!$A$7:$A$206,"&lt;="&amp;DATE(2026,11,22))+SUMIFS(Kamis!$H$7:$H$186,Kamis!$C$7:$C$186,$B20,Kamis!$A$7:$A$186,"&gt;="&amp;DATE(2026,11,16),Kamis!$A$7:$A$186,"&lt;="&amp;DATE(2026,11,22))+SUMIFS(Jumat!$H$7:$H$186,Jumat!$C$7:$C$186,$B20,Jumat!$A$7:$A$186,"&gt;="&amp;DATE(2026,11,16),Jumat!$A$7:$A$186,"&lt;="&amp;DATE(2026,11,22))</f>
        <v>0</v>
      </c>
      <c r="W20" s="45">
        <f>SUMIFS(Senin!$H$7:$H$146,Senin!$C$7:$C$146,$B20,Senin!$A$7:$A$146,"&gt;="&amp;DATE(2026,11,23),Senin!$A$7:$A$146,"&lt;="&amp;DATE(2026,11,29))+SUMIFS(Selasa!$H$7:$H$166,Selasa!$C$7:$C$166,$B20,Selasa!$A$7:$A$166,"&gt;="&amp;DATE(2026,11,23),Selasa!$A$7:$A$166,"&lt;="&amp;DATE(2026,11,29))+SUMIFS(Rabu!$H$7:$H$206,Rabu!$C$7:$C$206,$B20,Rabu!$A$7:$A$206,"&gt;="&amp;DATE(2026,11,23),Rabu!$A$7:$A$206,"&lt;="&amp;DATE(2026,11,29))+SUMIFS(Kamis!$H$7:$H$186,Kamis!$C$7:$C$186,$B20,Kamis!$A$7:$A$186,"&gt;="&amp;DATE(2026,11,23),Kamis!$A$7:$A$186,"&lt;="&amp;DATE(2026,11,29))+SUMIFS(Jumat!$H$7:$H$186,Jumat!$C$7:$C$186,$B20,Jumat!$A$7:$A$186,"&gt;="&amp;DATE(2026,11,23),Jumat!$A$7:$A$186,"&lt;="&amp;DATE(2026,11,29))</f>
        <v>0</v>
      </c>
      <c r="X20" s="45">
        <f>SUMIFS(Senin!$H$7:$H$146,Senin!$C$7:$C$146,$B20,Senin!$A$7:$A$146,"&gt;="&amp;DATE(2026,11,30),Senin!$A$7:$A$146,"&lt;="&amp;DATE(2026,12,6))+SUMIFS(Selasa!$H$7:$H$166,Selasa!$C$7:$C$166,$B20,Selasa!$A$7:$A$166,"&gt;="&amp;DATE(2026,11,30),Selasa!$A$7:$A$166,"&lt;="&amp;DATE(2026,12,6))+SUMIFS(Rabu!$H$7:$H$206,Rabu!$C$7:$C$206,$B20,Rabu!$A$7:$A$206,"&gt;="&amp;DATE(2026,11,30),Rabu!$A$7:$A$206,"&lt;="&amp;DATE(2026,12,6))+SUMIFS(Kamis!$H$7:$H$186,Kamis!$C$7:$C$186,$B20,Kamis!$A$7:$A$186,"&gt;="&amp;DATE(2026,11,30),Kamis!$A$7:$A$186,"&lt;="&amp;DATE(2026,12,6))+SUMIFS(Jumat!$H$7:$H$186,Jumat!$C$7:$C$186,$B20,Jumat!$A$7:$A$186,"&gt;="&amp;DATE(2026,11,30),Jumat!$A$7:$A$186,"&lt;="&amp;DATE(2026,12,6))</f>
        <v>0</v>
      </c>
      <c r="Y20" s="45">
        <f>SUMIFS(Senin!$H$7:$H$146,Senin!$C$7:$C$146,$B20,Senin!$A$7:$A$146,"&gt;="&amp;DATE(2026,12,7),Senin!$A$7:$A$146,"&lt;="&amp;DATE(2026,12,13))+SUMIFS(Selasa!$H$7:$H$166,Selasa!$C$7:$C$166,$B20,Selasa!$A$7:$A$166,"&gt;="&amp;DATE(2026,12,7),Selasa!$A$7:$A$166,"&lt;="&amp;DATE(2026,12,13))+SUMIFS(Rabu!$H$7:$H$206,Rabu!$C$7:$C$206,$B20,Rabu!$A$7:$A$206,"&gt;="&amp;DATE(2026,12,7),Rabu!$A$7:$A$206,"&lt;="&amp;DATE(2026,12,13))+SUMIFS(Kamis!$H$7:$H$186,Kamis!$C$7:$C$186,$B20,Kamis!$A$7:$A$186,"&gt;="&amp;DATE(2026,12,7),Kamis!$A$7:$A$186,"&lt;="&amp;DATE(2026,12,13))+SUMIFS(Jumat!$H$7:$H$186,Jumat!$C$7:$C$186,$B20,Jumat!$A$7:$A$186,"&gt;="&amp;DATE(2026,12,7),Jumat!$A$7:$A$186,"&lt;="&amp;DATE(2026,12,13))</f>
        <v>0</v>
      </c>
      <c r="Z20" s="45">
        <f>SUMIFS(Senin!$H$7:$H$146,Senin!$C$7:$C$146,$B20,Senin!$A$7:$A$146,"&gt;="&amp;DATE(2026,12,14),Senin!$A$7:$A$146,"&lt;="&amp;DATE(2026,12,20))+SUMIFS(Selasa!$H$7:$H$166,Selasa!$C$7:$C$166,$B20,Selasa!$A$7:$A$166,"&gt;="&amp;DATE(2026,12,14),Selasa!$A$7:$A$166,"&lt;="&amp;DATE(2026,12,20))+SUMIFS(Rabu!$H$7:$H$206,Rabu!$C$7:$C$206,$B20,Rabu!$A$7:$A$206,"&gt;="&amp;DATE(2026,12,14),Rabu!$A$7:$A$206,"&lt;="&amp;DATE(2026,12,20))+SUMIFS(Kamis!$H$7:$H$186,Kamis!$C$7:$C$186,$B20,Kamis!$A$7:$A$186,"&gt;="&amp;DATE(2026,12,14),Kamis!$A$7:$A$186,"&lt;="&amp;DATE(2026,12,20))+SUMIFS(Jumat!$H$7:$H$186,Jumat!$C$7:$C$186,$B20,Jumat!$A$7:$A$186,"&gt;="&amp;DATE(2026,12,14),Jumat!$A$7:$A$186,"&lt;="&amp;DATE(2026,12,20))</f>
        <v>0</v>
      </c>
      <c r="AA20" s="45">
        <f>SUMIFS(Senin!$H$7:$H$146,Senin!$C$7:$C$146,$B20,Senin!$A$7:$A$146,"&gt;="&amp;DATE(2026,12,21),Senin!$A$7:$A$146,"&lt;="&amp;DATE(2026,12,27))+SUMIFS(Selasa!$H$7:$H$166,Selasa!$C$7:$C$166,$B20,Selasa!$A$7:$A$166,"&gt;="&amp;DATE(2026,12,21),Selasa!$A$7:$A$166,"&lt;="&amp;DATE(2026,12,27))+SUMIFS(Rabu!$H$7:$H$206,Rabu!$C$7:$C$206,$B20,Rabu!$A$7:$A$206,"&gt;="&amp;DATE(2026,12,21),Rabu!$A$7:$A$206,"&lt;="&amp;DATE(2026,12,27))+SUMIFS(Kamis!$H$7:$H$186,Kamis!$C$7:$C$186,$B20,Kamis!$A$7:$A$186,"&gt;="&amp;DATE(2026,12,21),Kamis!$A$7:$A$186,"&lt;="&amp;DATE(2026,12,27))+SUMIFS(Jumat!$H$7:$H$186,Jumat!$C$7:$C$186,$B20,Jumat!$A$7:$A$186,"&gt;="&amp;DATE(2026,12,21),Jumat!$A$7:$A$186,"&lt;="&amp;DATE(2026,12,27))</f>
        <v>0</v>
      </c>
      <c r="AB20" s="45">
        <f>SUMIFS(Senin!$H$7:$H$146,Senin!$C$7:$C$146,$B20,Senin!$A$7:$A$146,"&gt;="&amp;DATE(2026,12,28),Senin!$A$7:$A$146,"&lt;="&amp;DATE(2027,1,3))+SUMIFS(Selasa!$H$7:$H$166,Selasa!$C$7:$C$166,$B20,Selasa!$A$7:$A$166,"&gt;="&amp;DATE(2026,12,28),Selasa!$A$7:$A$166,"&lt;="&amp;DATE(2027,1,3))+SUMIFS(Rabu!$H$7:$H$206,Rabu!$C$7:$C$206,$B20,Rabu!$A$7:$A$206,"&gt;="&amp;DATE(2026,12,28),Rabu!$A$7:$A$206,"&lt;="&amp;DATE(2027,1,3))+SUMIFS(Kamis!$H$7:$H$186,Kamis!$C$7:$C$186,$B20,Kamis!$A$7:$A$186,"&gt;="&amp;DATE(2026,12,28),Kamis!$A$7:$A$186,"&lt;="&amp;DATE(2027,1,3))+SUMIFS(Jumat!$H$7:$H$186,Jumat!$C$7:$C$186,$B20,Jumat!$A$7:$A$186,"&gt;="&amp;DATE(2026,12,28),Jumat!$A$7:$A$186,"&lt;="&amp;DATE(2027,1,3))</f>
        <v>0</v>
      </c>
      <c r="AC20" s="45">
        <f>SUMIFS(Senin!$H$7:$H$146,Senin!$C$7:$C$146,$B20,Senin!$A$7:$A$146,"&gt;="&amp;DATE(2027,1,4),Senin!$A$7:$A$146,"&lt;="&amp;DATE(2027,1,10))+SUMIFS(Selasa!$H$7:$H$166,Selasa!$C$7:$C$166,$B20,Selasa!$A$7:$A$166,"&gt;="&amp;DATE(2027,1,4),Selasa!$A$7:$A$166,"&lt;="&amp;DATE(2027,1,10))+SUMIFS(Rabu!$H$7:$H$206,Rabu!$C$7:$C$206,$B20,Rabu!$A$7:$A$206,"&gt;="&amp;DATE(2027,1,4),Rabu!$A$7:$A$206,"&lt;="&amp;DATE(2027,1,10))+SUMIFS(Kamis!$H$7:$H$186,Kamis!$C$7:$C$186,$B20,Kamis!$A$7:$A$186,"&gt;="&amp;DATE(2027,1,4),Kamis!$A$7:$A$186,"&lt;="&amp;DATE(2027,1,10))+SUMIFS(Jumat!$H$7:$H$186,Jumat!$C$7:$C$186,$B20,Jumat!$A$7:$A$186,"&gt;="&amp;DATE(2027,1,4),Jumat!$A$7:$A$186,"&lt;="&amp;DATE(2027,1,10))</f>
        <v>0</v>
      </c>
      <c r="AD20" s="45">
        <f>SUMIFS(Senin!$H$7:$H$146,Senin!$C$7:$C$146,$B20,Senin!$A$7:$A$146,"&gt;="&amp;DATE(2027,1,11),Senin!$A$7:$A$146,"&lt;="&amp;DATE(2027,1,17))+SUMIFS(Selasa!$H$7:$H$166,Selasa!$C$7:$C$166,$B20,Selasa!$A$7:$A$166,"&gt;="&amp;DATE(2027,1,11),Selasa!$A$7:$A$166,"&lt;="&amp;DATE(2027,1,17))+SUMIFS(Rabu!$H$7:$H$206,Rabu!$C$7:$C$206,$B20,Rabu!$A$7:$A$206,"&gt;="&amp;DATE(2027,1,11),Rabu!$A$7:$A$206,"&lt;="&amp;DATE(2027,1,17))+SUMIFS(Kamis!$H$7:$H$186,Kamis!$C$7:$C$186,$B20,Kamis!$A$7:$A$186,"&gt;="&amp;DATE(2027,1,11),Kamis!$A$7:$A$186,"&lt;="&amp;DATE(2027,1,17))+SUMIFS(Jumat!$H$7:$H$186,Jumat!$C$7:$C$186,$B20,Jumat!$A$7:$A$186,"&gt;="&amp;DATE(2027,1,11),Jumat!$A$7:$A$186,"&lt;="&amp;DATE(2027,1,17))</f>
        <v>0</v>
      </c>
    </row>
    <row r="21" ht="15.75" customHeight="1">
      <c r="A21" s="27">
        <v>18.0</v>
      </c>
      <c r="B21" s="61" t="s">
        <v>30</v>
      </c>
      <c r="C21" s="41">
        <f>COUNTIFS(Senin!$C$7:$C$146,$B21,Senin!$G$7:$G$146,"Ya",Senin!$E$7:$E$146,"&lt;&gt;")+COUNTIFS(Selasa!$C$7:$C$166,$B21,Selasa!$G$7:$G$166,"Ya",Selasa!$E$7:$E$166,"&lt;&gt;")+COUNTIFS(Rabu!$C$7:$C$206,$B21,Rabu!$G$7:$G$206,"Ya",Rabu!$E$7:$E$206,"&lt;&gt;")+COUNTIFS(Kamis!$C$7:$C$186,$B21,Kamis!$G$7:$G$186,"Ya",Kamis!$E$7:$E$186,"&lt;&gt;")+COUNTIFS(Jumat!$C$7:$C$186,$B21,Jumat!$G$7:$G$186,"Ya",Jumat!$E$7:$E$186,"&lt;&gt;")</f>
        <v>0</v>
      </c>
      <c r="D21" s="41">
        <f>COUNTIFS(Senin!$C$7:$C$146,$B21,Senin!$G$7:$G$146,"Ya",Senin!$E$7:$E$146,"")+COUNTIFS(Selasa!$C$7:$C$166,$B21,Selasa!$G$7:$G$166,"Ya",Selasa!$E$7:$E$166,"")+COUNTIFS(Rabu!$C$7:$C$206,$B21,Rabu!$G$7:$G$206,"Ya",Rabu!$E$7:$E$206,"")+COUNTIFS(Kamis!$C$7:$C$186,$B21,Kamis!$G$7:$G$186,"Ya",Kamis!$E$7:$E$186,"")+COUNTIFS(Jumat!$C$7:$C$186,$B21,Jumat!$G$7:$G$186,"Ya",Jumat!$E$7:$E$186,"")</f>
        <v>0</v>
      </c>
      <c r="E21" s="45">
        <f>SUMIFS(Senin!$H$7:$H$146,Senin!$C$7:$C$146,$B21,Senin!$A$7:$A$146,"&gt;="&amp;DATE(2026,8,1),Senin!$A$7:$A$146,"&lt;="&amp;DATE(2026,12,31))+SUMIFS(Selasa!$H$7:$H$166,Selasa!$C$7:$C$166,$B21,Selasa!$A$7:$A$166,"&gt;="&amp;DATE(2026,8,1),Selasa!$A$7:$A$166,"&lt;="&amp;DATE(2026,12,31))+SUMIFS(Rabu!$H$7:$H$206,Rabu!$C$7:$C$206,$B21,Rabu!$A$7:$A$206,"&gt;="&amp;DATE(2026,8,1),Rabu!$A$7:$A$206,"&lt;="&amp;DATE(2026,12,31))+SUMIFS(Kamis!$H$7:$H$186,Kamis!$C$7:$C$186,$B21,Kamis!$A$7:$A$186,"&gt;="&amp;DATE(2026,8,1),Kamis!$A$7:$A$186,"&lt;="&amp;DATE(2026,12,31))+SUMIFS(Jumat!$H$7:$H$186,Jumat!$C$7:$C$186,$B21,Jumat!$A$7:$A$186,"&gt;="&amp;DATE(2026,8,1),Jumat!$A$7:$A$186,"&lt;="&amp;DATE(2026,12,31))</f>
        <v>0</v>
      </c>
      <c r="F21" s="45">
        <f>SUMIFS(Senin!$H$7:$H$146,Senin!$C$7:$C$146,$B21,Senin!$A$7:$A$146,"&gt;="&amp;DATE(2026,8,1),Senin!$A$7:$A$146,"&lt;="&amp;DATE(2026,8,31))+SUMIFS(Selasa!$H$7:$H$166,Selasa!$C$7:$C$166,$B21,Selasa!$A$7:$A$166,"&gt;="&amp;DATE(2026,8,1),Selasa!$A$7:$A$166,"&lt;="&amp;DATE(2026,8,31))+SUMIFS(Rabu!$H$7:$H$206,Rabu!$C$7:$C$206,$B21,Rabu!$A$7:$A$206,"&gt;="&amp;DATE(2026,8,1),Rabu!$A$7:$A$206,"&lt;="&amp;DATE(2026,8,31))+SUMIFS(Kamis!$H$7:$H$186,Kamis!$C$7:$C$186,$B21,Kamis!$A$7:$A$186,"&gt;="&amp;DATE(2026,8,1),Kamis!$A$7:$A$186,"&lt;="&amp;DATE(2026,8,31))+SUMIFS(Jumat!$H$7:$H$186,Jumat!$C$7:$C$186,$B21,Jumat!$A$7:$A$186,"&gt;="&amp;DATE(2026,8,1),Jumat!$A$7:$A$186,"&lt;="&amp;DATE(2026,8,31))</f>
        <v>0</v>
      </c>
      <c r="G21" s="45">
        <f>SUMIFS(Senin!$H$7:$H$146,Senin!$C$7:$C$146,$B21,Senin!$A$7:$A$146,"&gt;="&amp;DATE(2026,9,1),Senin!$A$7:$A$146,"&lt;="&amp;DATE(2026,9,30))+SUMIFS(Selasa!$H$7:$H$166,Selasa!$C$7:$C$166,$B21,Selasa!$A$7:$A$166,"&gt;="&amp;DATE(2026,9,1),Selasa!$A$7:$A$166,"&lt;="&amp;DATE(2026,9,30))+SUMIFS(Rabu!$H$7:$H$206,Rabu!$C$7:$C$206,$B21,Rabu!$A$7:$A$206,"&gt;="&amp;DATE(2026,9,1),Rabu!$A$7:$A$206,"&lt;="&amp;DATE(2026,9,30))+SUMIFS(Kamis!$H$7:$H$186,Kamis!$C$7:$C$186,$B21,Kamis!$A$7:$A$186,"&gt;="&amp;DATE(2026,9,1),Kamis!$A$7:$A$186,"&lt;="&amp;DATE(2026,9,30))+SUMIFS(Jumat!$H$7:$H$186,Jumat!$C$7:$C$186,$B21,Jumat!$A$7:$A$186,"&gt;="&amp;DATE(2026,9,1),Jumat!$A$7:$A$186,"&lt;="&amp;DATE(2026,9,30))</f>
        <v>0</v>
      </c>
      <c r="H21" s="45">
        <f>SUMIFS(Senin!$H$7:$H$146,Senin!$C$7:$C$146,$B21,Senin!$A$7:$A$146,"&gt;="&amp;DATE(2026,10,1),Senin!$A$7:$A$146,"&lt;="&amp;DATE(2026,10,31))+SUMIFS(Selasa!$H$7:$H$166,Selasa!$C$7:$C$166,$B21,Selasa!$A$7:$A$166,"&gt;="&amp;DATE(2026,10,1),Selasa!$A$7:$A$166,"&lt;="&amp;DATE(2026,10,31))+SUMIFS(Rabu!$H$7:$H$206,Rabu!$C$7:$C$206,$B21,Rabu!$A$7:$A$206,"&gt;="&amp;DATE(2026,10,1),Rabu!$A$7:$A$206,"&lt;="&amp;DATE(2026,10,31))+SUMIFS(Kamis!$H$7:$H$186,Kamis!$C$7:$C$186,$B21,Kamis!$A$7:$A$186,"&gt;="&amp;DATE(2026,10,1),Kamis!$A$7:$A$186,"&lt;="&amp;DATE(2026,10,31))+SUMIFS(Jumat!$H$7:$H$186,Jumat!$C$7:$C$186,$B21,Jumat!$A$7:$A$186,"&gt;="&amp;DATE(2026,10,1),Jumat!$A$7:$A$186,"&lt;="&amp;DATE(2026,10,31))</f>
        <v>0</v>
      </c>
      <c r="I21" s="45">
        <f>SUMIFS(Senin!$H$7:$H$146,Senin!$C$7:$C$146,$B21,Senin!$A$7:$A$146,"&gt;="&amp;DATE(2026,11,1),Senin!$A$7:$A$146,"&lt;="&amp;DATE(2026,11,30))+SUMIFS(Selasa!$H$7:$H$166,Selasa!$C$7:$C$166,$B21,Selasa!$A$7:$A$166,"&gt;="&amp;DATE(2026,11,1),Selasa!$A$7:$A$166,"&lt;="&amp;DATE(2026,11,30))+SUMIFS(Rabu!$H$7:$H$206,Rabu!$C$7:$C$206,$B21,Rabu!$A$7:$A$206,"&gt;="&amp;DATE(2026,11,1),Rabu!$A$7:$A$206,"&lt;="&amp;DATE(2026,11,30))+SUMIFS(Kamis!$H$7:$H$186,Kamis!$C$7:$C$186,$B21,Kamis!$A$7:$A$186,"&gt;="&amp;DATE(2026,11,1),Kamis!$A$7:$A$186,"&lt;="&amp;DATE(2026,11,30))+SUMIFS(Jumat!$H$7:$H$186,Jumat!$C$7:$C$186,$B21,Jumat!$A$7:$A$186,"&gt;="&amp;DATE(2026,11,1),Jumat!$A$7:$A$186,"&lt;="&amp;DATE(2026,11,30))</f>
        <v>0</v>
      </c>
      <c r="J21" s="45">
        <f>SUMIFS(Senin!$H$7:$H$146,Senin!$C$7:$C$146,$B21,Senin!$A$7:$A$146,"&gt;="&amp;DATE(2026,12,1),Senin!$A$7:$A$146,"&lt;="&amp;DATE(2026,12,31))+SUMIFS(Selasa!$H$7:$H$166,Selasa!$C$7:$C$166,$B21,Selasa!$A$7:$A$166,"&gt;="&amp;DATE(2026,12,1),Selasa!$A$7:$A$166,"&lt;="&amp;DATE(2026,12,31))+SUMIFS(Rabu!$H$7:$H$206,Rabu!$C$7:$C$206,$B21,Rabu!$A$7:$A$206,"&gt;="&amp;DATE(2026,12,1),Rabu!$A$7:$A$206,"&lt;="&amp;DATE(2026,12,31))+SUMIFS(Kamis!$H$7:$H$186,Kamis!$C$7:$C$186,$B21,Kamis!$A$7:$A$186,"&gt;="&amp;DATE(2026,12,1),Kamis!$A$7:$A$186,"&lt;="&amp;DATE(2026,12,31))+SUMIFS(Jumat!$H$7:$H$186,Jumat!$C$7:$C$186,$B21,Jumat!$A$7:$A$186,"&gt;="&amp;DATE(2026,12,1),Jumat!$A$7:$A$186,"&lt;="&amp;DATE(2026,12,31))</f>
        <v>0</v>
      </c>
      <c r="K21" s="45">
        <f>SUMIFS(Senin!$H$7:$H$146,Senin!$C$7:$C$146,$B21,Senin!$A$7:$A$146,"&gt;="&amp;DATE(2026,8,31),Senin!$A$7:$A$146,"&lt;="&amp;DATE(2026,9,6))+SUMIFS(Selasa!$H$7:$H$166,Selasa!$C$7:$C$166,$B21,Selasa!$A$7:$A$166,"&gt;="&amp;DATE(2026,8,31),Selasa!$A$7:$A$166,"&lt;="&amp;DATE(2026,9,6))+SUMIFS(Rabu!$H$7:$H$206,Rabu!$C$7:$C$206,$B21,Rabu!$A$7:$A$206,"&gt;="&amp;DATE(2026,8,31),Rabu!$A$7:$A$206,"&lt;="&amp;DATE(2026,9,6))+SUMIFS(Kamis!$H$7:$H$186,Kamis!$C$7:$C$186,$B21,Kamis!$A$7:$A$186,"&gt;="&amp;DATE(2026,8,31),Kamis!$A$7:$A$186,"&lt;="&amp;DATE(2026,9,6))+SUMIFS(Jumat!$H$7:$H$186,Jumat!$C$7:$C$186,$B21,Jumat!$A$7:$A$186,"&gt;="&amp;DATE(2026,8,31),Jumat!$A$7:$A$186,"&lt;="&amp;DATE(2026,9,6))</f>
        <v>0</v>
      </c>
      <c r="L21" s="45">
        <f>SUMIFS(Senin!$H$7:$H$146,Senin!$C$7:$C$146,$B21,Senin!$A$7:$A$146,"&gt;="&amp;DATE(2026,9,7),Senin!$A$7:$A$146,"&lt;="&amp;DATE(2026,9,13))+SUMIFS(Selasa!$H$7:$H$166,Selasa!$C$7:$C$166,$B21,Selasa!$A$7:$A$166,"&gt;="&amp;DATE(2026,9,7),Selasa!$A$7:$A$166,"&lt;="&amp;DATE(2026,9,13))+SUMIFS(Rabu!$H$7:$H$206,Rabu!$C$7:$C$206,$B21,Rabu!$A$7:$A$206,"&gt;="&amp;DATE(2026,9,7),Rabu!$A$7:$A$206,"&lt;="&amp;DATE(2026,9,13))+SUMIFS(Kamis!$H$7:$H$186,Kamis!$C$7:$C$186,$B21,Kamis!$A$7:$A$186,"&gt;="&amp;DATE(2026,9,7),Kamis!$A$7:$A$186,"&lt;="&amp;DATE(2026,9,13))+SUMIFS(Jumat!$H$7:$H$186,Jumat!$C$7:$C$186,$B21,Jumat!$A$7:$A$186,"&gt;="&amp;DATE(2026,9,7),Jumat!$A$7:$A$186,"&lt;="&amp;DATE(2026,9,13))</f>
        <v>0</v>
      </c>
      <c r="M21" s="45">
        <f>SUMIFS(Senin!$H$7:$H$146,Senin!$C$7:$C$146,$B21,Senin!$A$7:$A$146,"&gt;="&amp;DATE(2026,9,14),Senin!$A$7:$A$146,"&lt;="&amp;DATE(2026,9,20))+SUMIFS(Selasa!$H$7:$H$166,Selasa!$C$7:$C$166,$B21,Selasa!$A$7:$A$166,"&gt;="&amp;DATE(2026,9,14),Selasa!$A$7:$A$166,"&lt;="&amp;DATE(2026,9,20))+SUMIFS(Rabu!$H$7:$H$206,Rabu!$C$7:$C$206,$B21,Rabu!$A$7:$A$206,"&gt;="&amp;DATE(2026,9,14),Rabu!$A$7:$A$206,"&lt;="&amp;DATE(2026,9,20))+SUMIFS(Kamis!$H$7:$H$186,Kamis!$C$7:$C$186,$B21,Kamis!$A$7:$A$186,"&gt;="&amp;DATE(2026,9,14),Kamis!$A$7:$A$186,"&lt;="&amp;DATE(2026,9,20))+SUMIFS(Jumat!$H$7:$H$186,Jumat!$C$7:$C$186,$B21,Jumat!$A$7:$A$186,"&gt;="&amp;DATE(2026,9,14),Jumat!$A$7:$A$186,"&lt;="&amp;DATE(2026,9,20))</f>
        <v>0</v>
      </c>
      <c r="N21" s="45">
        <f>SUMIFS(Senin!$H$7:$H$146,Senin!$C$7:$C$146,$B21,Senin!$A$7:$A$146,"&gt;="&amp;DATE(2026,9,21),Senin!$A$7:$A$146,"&lt;="&amp;DATE(2026,9,27))+SUMIFS(Selasa!$H$7:$H$166,Selasa!$C$7:$C$166,$B21,Selasa!$A$7:$A$166,"&gt;="&amp;DATE(2026,9,21),Selasa!$A$7:$A$166,"&lt;="&amp;DATE(2026,9,27))+SUMIFS(Rabu!$H$7:$H$206,Rabu!$C$7:$C$206,$B21,Rabu!$A$7:$A$206,"&gt;="&amp;DATE(2026,9,21),Rabu!$A$7:$A$206,"&lt;="&amp;DATE(2026,9,27))+SUMIFS(Kamis!$H$7:$H$186,Kamis!$C$7:$C$186,$B21,Kamis!$A$7:$A$186,"&gt;="&amp;DATE(2026,9,21),Kamis!$A$7:$A$186,"&lt;="&amp;DATE(2026,9,27))+SUMIFS(Jumat!$H$7:$H$186,Jumat!$C$7:$C$186,$B21,Jumat!$A$7:$A$186,"&gt;="&amp;DATE(2026,9,21),Jumat!$A$7:$A$186,"&lt;="&amp;DATE(2026,9,27))</f>
        <v>0</v>
      </c>
      <c r="O21" s="45">
        <f>SUMIFS(Senin!$H$7:$H$146,Senin!$C$7:$C$146,$B21,Senin!$A$7:$A$146,"&gt;="&amp;DATE(2026,9,28),Senin!$A$7:$A$146,"&lt;="&amp;DATE(2026,10,4))+SUMIFS(Selasa!$H$7:$H$166,Selasa!$C$7:$C$166,$B21,Selasa!$A$7:$A$166,"&gt;="&amp;DATE(2026,9,28),Selasa!$A$7:$A$166,"&lt;="&amp;DATE(2026,10,4))+SUMIFS(Rabu!$H$7:$H$206,Rabu!$C$7:$C$206,$B21,Rabu!$A$7:$A$206,"&gt;="&amp;DATE(2026,9,28),Rabu!$A$7:$A$206,"&lt;="&amp;DATE(2026,10,4))+SUMIFS(Kamis!$H$7:$H$186,Kamis!$C$7:$C$186,$B21,Kamis!$A$7:$A$186,"&gt;="&amp;DATE(2026,9,28),Kamis!$A$7:$A$186,"&lt;="&amp;DATE(2026,10,4))+SUMIFS(Jumat!$H$7:$H$186,Jumat!$C$7:$C$186,$B21,Jumat!$A$7:$A$186,"&gt;="&amp;DATE(2026,9,28),Jumat!$A$7:$A$186,"&lt;="&amp;DATE(2026,10,4))</f>
        <v>0</v>
      </c>
      <c r="P21" s="45">
        <f>SUMIFS(Senin!$H$7:$H$146,Senin!$C$7:$C$146,$B21,Senin!$A$7:$A$146,"&gt;="&amp;DATE(2026,10,5),Senin!$A$7:$A$146,"&lt;="&amp;DATE(2026,10,11))+SUMIFS(Selasa!$H$7:$H$166,Selasa!$C$7:$C$166,$B21,Selasa!$A$7:$A$166,"&gt;="&amp;DATE(2026,10,5),Selasa!$A$7:$A$166,"&lt;="&amp;DATE(2026,10,11))+SUMIFS(Rabu!$H$7:$H$206,Rabu!$C$7:$C$206,$B21,Rabu!$A$7:$A$206,"&gt;="&amp;DATE(2026,10,5),Rabu!$A$7:$A$206,"&lt;="&amp;DATE(2026,10,11))+SUMIFS(Kamis!$H$7:$H$186,Kamis!$C$7:$C$186,$B21,Kamis!$A$7:$A$186,"&gt;="&amp;DATE(2026,10,5),Kamis!$A$7:$A$186,"&lt;="&amp;DATE(2026,10,11))+SUMIFS(Jumat!$H$7:$H$186,Jumat!$C$7:$C$186,$B21,Jumat!$A$7:$A$186,"&gt;="&amp;DATE(2026,10,5),Jumat!$A$7:$A$186,"&lt;="&amp;DATE(2026,10,11))</f>
        <v>0</v>
      </c>
      <c r="Q21" s="45">
        <f>SUMIFS(Senin!$H$7:$H$146,Senin!$C$7:$C$146,$B21,Senin!$A$7:$A$146,"&gt;="&amp;DATE(2026,10,12),Senin!$A$7:$A$146,"&lt;="&amp;DATE(2026,10,18))+SUMIFS(Selasa!$H$7:$H$166,Selasa!$C$7:$C$166,$B21,Selasa!$A$7:$A$166,"&gt;="&amp;DATE(2026,10,12),Selasa!$A$7:$A$166,"&lt;="&amp;DATE(2026,10,18))+SUMIFS(Rabu!$H$7:$H$206,Rabu!$C$7:$C$206,$B21,Rabu!$A$7:$A$206,"&gt;="&amp;DATE(2026,10,12),Rabu!$A$7:$A$206,"&lt;="&amp;DATE(2026,10,18))+SUMIFS(Kamis!$H$7:$H$186,Kamis!$C$7:$C$186,$B21,Kamis!$A$7:$A$186,"&gt;="&amp;DATE(2026,10,12),Kamis!$A$7:$A$186,"&lt;="&amp;DATE(2026,10,18))+SUMIFS(Jumat!$H$7:$H$186,Jumat!$C$7:$C$186,$B21,Jumat!$A$7:$A$186,"&gt;="&amp;DATE(2026,10,12),Jumat!$A$7:$A$186,"&lt;="&amp;DATE(2026,10,18))</f>
        <v>0</v>
      </c>
      <c r="R21" s="45">
        <f>SUMIFS(Senin!$H$7:$H$146,Senin!$C$7:$C$146,$B21,Senin!$A$7:$A$146,"&gt;="&amp;DATE(2026,10,19),Senin!$A$7:$A$146,"&lt;="&amp;DATE(2026,10,25))+SUMIFS(Selasa!$H$7:$H$166,Selasa!$C$7:$C$166,$B21,Selasa!$A$7:$A$166,"&gt;="&amp;DATE(2026,10,19),Selasa!$A$7:$A$166,"&lt;="&amp;DATE(2026,10,25))+SUMIFS(Rabu!$H$7:$H$206,Rabu!$C$7:$C$206,$B21,Rabu!$A$7:$A$206,"&gt;="&amp;DATE(2026,10,19),Rabu!$A$7:$A$206,"&lt;="&amp;DATE(2026,10,25))+SUMIFS(Kamis!$H$7:$H$186,Kamis!$C$7:$C$186,$B21,Kamis!$A$7:$A$186,"&gt;="&amp;DATE(2026,10,19),Kamis!$A$7:$A$186,"&lt;="&amp;DATE(2026,10,25))+SUMIFS(Jumat!$H$7:$H$186,Jumat!$C$7:$C$186,$B21,Jumat!$A$7:$A$186,"&gt;="&amp;DATE(2026,10,19),Jumat!$A$7:$A$186,"&lt;="&amp;DATE(2026,10,25))</f>
        <v>0</v>
      </c>
      <c r="S21" s="45">
        <f>SUMIFS(Senin!$H$7:$H$146,Senin!$C$7:$C$146,$B21,Senin!$A$7:$A$146,"&gt;="&amp;DATE(2026,10,26),Senin!$A$7:$A$146,"&lt;="&amp;DATE(2026,11,1))+SUMIFS(Selasa!$H$7:$H$166,Selasa!$C$7:$C$166,$B21,Selasa!$A$7:$A$166,"&gt;="&amp;DATE(2026,10,26),Selasa!$A$7:$A$166,"&lt;="&amp;DATE(2026,11,1))+SUMIFS(Rabu!$H$7:$H$206,Rabu!$C$7:$C$206,$B21,Rabu!$A$7:$A$206,"&gt;="&amp;DATE(2026,10,26),Rabu!$A$7:$A$206,"&lt;="&amp;DATE(2026,11,1))+SUMIFS(Kamis!$H$7:$H$186,Kamis!$C$7:$C$186,$B21,Kamis!$A$7:$A$186,"&gt;="&amp;DATE(2026,10,26),Kamis!$A$7:$A$186,"&lt;="&amp;DATE(2026,11,1))+SUMIFS(Jumat!$H$7:$H$186,Jumat!$C$7:$C$186,$B21,Jumat!$A$7:$A$186,"&gt;="&amp;DATE(2026,10,26),Jumat!$A$7:$A$186,"&lt;="&amp;DATE(2026,11,1))</f>
        <v>0</v>
      </c>
      <c r="T21" s="45">
        <f>SUMIFS(Senin!$H$7:$H$146,Senin!$C$7:$C$146,$B21,Senin!$A$7:$A$146,"&gt;="&amp;DATE(2026,11,2),Senin!$A$7:$A$146,"&lt;="&amp;DATE(2026,11,8))+SUMIFS(Selasa!$H$7:$H$166,Selasa!$C$7:$C$166,$B21,Selasa!$A$7:$A$166,"&gt;="&amp;DATE(2026,11,2),Selasa!$A$7:$A$166,"&lt;="&amp;DATE(2026,11,8))+SUMIFS(Rabu!$H$7:$H$206,Rabu!$C$7:$C$206,$B21,Rabu!$A$7:$A$206,"&gt;="&amp;DATE(2026,11,2),Rabu!$A$7:$A$206,"&lt;="&amp;DATE(2026,11,8))+SUMIFS(Kamis!$H$7:$H$186,Kamis!$C$7:$C$186,$B21,Kamis!$A$7:$A$186,"&gt;="&amp;DATE(2026,11,2),Kamis!$A$7:$A$186,"&lt;="&amp;DATE(2026,11,8))+SUMIFS(Jumat!$H$7:$H$186,Jumat!$C$7:$C$186,$B21,Jumat!$A$7:$A$186,"&gt;="&amp;DATE(2026,11,2),Jumat!$A$7:$A$186,"&lt;="&amp;DATE(2026,11,8))</f>
        <v>0</v>
      </c>
      <c r="U21" s="45">
        <f>SUMIFS(Senin!$H$7:$H$146,Senin!$C$7:$C$146,$B21,Senin!$A$7:$A$146,"&gt;="&amp;DATE(2026,11,9),Senin!$A$7:$A$146,"&lt;="&amp;DATE(2026,11,15))+SUMIFS(Selasa!$H$7:$H$166,Selasa!$C$7:$C$166,$B21,Selasa!$A$7:$A$166,"&gt;="&amp;DATE(2026,11,9),Selasa!$A$7:$A$166,"&lt;="&amp;DATE(2026,11,15))+SUMIFS(Rabu!$H$7:$H$206,Rabu!$C$7:$C$206,$B21,Rabu!$A$7:$A$206,"&gt;="&amp;DATE(2026,11,9),Rabu!$A$7:$A$206,"&lt;="&amp;DATE(2026,11,15))+SUMIFS(Kamis!$H$7:$H$186,Kamis!$C$7:$C$186,$B21,Kamis!$A$7:$A$186,"&gt;="&amp;DATE(2026,11,9),Kamis!$A$7:$A$186,"&lt;="&amp;DATE(2026,11,15))+SUMIFS(Jumat!$H$7:$H$186,Jumat!$C$7:$C$186,$B21,Jumat!$A$7:$A$186,"&gt;="&amp;DATE(2026,11,9),Jumat!$A$7:$A$186,"&lt;="&amp;DATE(2026,11,15))</f>
        <v>0</v>
      </c>
      <c r="V21" s="45">
        <f>SUMIFS(Senin!$H$7:$H$146,Senin!$C$7:$C$146,$B21,Senin!$A$7:$A$146,"&gt;="&amp;DATE(2026,11,16),Senin!$A$7:$A$146,"&lt;="&amp;DATE(2026,11,22))+SUMIFS(Selasa!$H$7:$H$166,Selasa!$C$7:$C$166,$B21,Selasa!$A$7:$A$166,"&gt;="&amp;DATE(2026,11,16),Selasa!$A$7:$A$166,"&lt;="&amp;DATE(2026,11,22))+SUMIFS(Rabu!$H$7:$H$206,Rabu!$C$7:$C$206,$B21,Rabu!$A$7:$A$206,"&gt;="&amp;DATE(2026,11,16),Rabu!$A$7:$A$206,"&lt;="&amp;DATE(2026,11,22))+SUMIFS(Kamis!$H$7:$H$186,Kamis!$C$7:$C$186,$B21,Kamis!$A$7:$A$186,"&gt;="&amp;DATE(2026,11,16),Kamis!$A$7:$A$186,"&lt;="&amp;DATE(2026,11,22))+SUMIFS(Jumat!$H$7:$H$186,Jumat!$C$7:$C$186,$B21,Jumat!$A$7:$A$186,"&gt;="&amp;DATE(2026,11,16),Jumat!$A$7:$A$186,"&lt;="&amp;DATE(2026,11,22))</f>
        <v>0</v>
      </c>
      <c r="W21" s="45">
        <f>SUMIFS(Senin!$H$7:$H$146,Senin!$C$7:$C$146,$B21,Senin!$A$7:$A$146,"&gt;="&amp;DATE(2026,11,23),Senin!$A$7:$A$146,"&lt;="&amp;DATE(2026,11,29))+SUMIFS(Selasa!$H$7:$H$166,Selasa!$C$7:$C$166,$B21,Selasa!$A$7:$A$166,"&gt;="&amp;DATE(2026,11,23),Selasa!$A$7:$A$166,"&lt;="&amp;DATE(2026,11,29))+SUMIFS(Rabu!$H$7:$H$206,Rabu!$C$7:$C$206,$B21,Rabu!$A$7:$A$206,"&gt;="&amp;DATE(2026,11,23),Rabu!$A$7:$A$206,"&lt;="&amp;DATE(2026,11,29))+SUMIFS(Kamis!$H$7:$H$186,Kamis!$C$7:$C$186,$B21,Kamis!$A$7:$A$186,"&gt;="&amp;DATE(2026,11,23),Kamis!$A$7:$A$186,"&lt;="&amp;DATE(2026,11,29))+SUMIFS(Jumat!$H$7:$H$186,Jumat!$C$7:$C$186,$B21,Jumat!$A$7:$A$186,"&gt;="&amp;DATE(2026,11,23),Jumat!$A$7:$A$186,"&lt;="&amp;DATE(2026,11,29))</f>
        <v>0</v>
      </c>
      <c r="X21" s="45">
        <f>SUMIFS(Senin!$H$7:$H$146,Senin!$C$7:$C$146,$B21,Senin!$A$7:$A$146,"&gt;="&amp;DATE(2026,11,30),Senin!$A$7:$A$146,"&lt;="&amp;DATE(2026,12,6))+SUMIFS(Selasa!$H$7:$H$166,Selasa!$C$7:$C$166,$B21,Selasa!$A$7:$A$166,"&gt;="&amp;DATE(2026,11,30),Selasa!$A$7:$A$166,"&lt;="&amp;DATE(2026,12,6))+SUMIFS(Rabu!$H$7:$H$206,Rabu!$C$7:$C$206,$B21,Rabu!$A$7:$A$206,"&gt;="&amp;DATE(2026,11,30),Rabu!$A$7:$A$206,"&lt;="&amp;DATE(2026,12,6))+SUMIFS(Kamis!$H$7:$H$186,Kamis!$C$7:$C$186,$B21,Kamis!$A$7:$A$186,"&gt;="&amp;DATE(2026,11,30),Kamis!$A$7:$A$186,"&lt;="&amp;DATE(2026,12,6))+SUMIFS(Jumat!$H$7:$H$186,Jumat!$C$7:$C$186,$B21,Jumat!$A$7:$A$186,"&gt;="&amp;DATE(2026,11,30),Jumat!$A$7:$A$186,"&lt;="&amp;DATE(2026,12,6))</f>
        <v>0</v>
      </c>
      <c r="Y21" s="45">
        <f>SUMIFS(Senin!$H$7:$H$146,Senin!$C$7:$C$146,$B21,Senin!$A$7:$A$146,"&gt;="&amp;DATE(2026,12,7),Senin!$A$7:$A$146,"&lt;="&amp;DATE(2026,12,13))+SUMIFS(Selasa!$H$7:$H$166,Selasa!$C$7:$C$166,$B21,Selasa!$A$7:$A$166,"&gt;="&amp;DATE(2026,12,7),Selasa!$A$7:$A$166,"&lt;="&amp;DATE(2026,12,13))+SUMIFS(Rabu!$H$7:$H$206,Rabu!$C$7:$C$206,$B21,Rabu!$A$7:$A$206,"&gt;="&amp;DATE(2026,12,7),Rabu!$A$7:$A$206,"&lt;="&amp;DATE(2026,12,13))+SUMIFS(Kamis!$H$7:$H$186,Kamis!$C$7:$C$186,$B21,Kamis!$A$7:$A$186,"&gt;="&amp;DATE(2026,12,7),Kamis!$A$7:$A$186,"&lt;="&amp;DATE(2026,12,13))+SUMIFS(Jumat!$H$7:$H$186,Jumat!$C$7:$C$186,$B21,Jumat!$A$7:$A$186,"&gt;="&amp;DATE(2026,12,7),Jumat!$A$7:$A$186,"&lt;="&amp;DATE(2026,12,13))</f>
        <v>0</v>
      </c>
      <c r="Z21" s="45">
        <f>SUMIFS(Senin!$H$7:$H$146,Senin!$C$7:$C$146,$B21,Senin!$A$7:$A$146,"&gt;="&amp;DATE(2026,12,14),Senin!$A$7:$A$146,"&lt;="&amp;DATE(2026,12,20))+SUMIFS(Selasa!$H$7:$H$166,Selasa!$C$7:$C$166,$B21,Selasa!$A$7:$A$166,"&gt;="&amp;DATE(2026,12,14),Selasa!$A$7:$A$166,"&lt;="&amp;DATE(2026,12,20))+SUMIFS(Rabu!$H$7:$H$206,Rabu!$C$7:$C$206,$B21,Rabu!$A$7:$A$206,"&gt;="&amp;DATE(2026,12,14),Rabu!$A$7:$A$206,"&lt;="&amp;DATE(2026,12,20))+SUMIFS(Kamis!$H$7:$H$186,Kamis!$C$7:$C$186,$B21,Kamis!$A$7:$A$186,"&gt;="&amp;DATE(2026,12,14),Kamis!$A$7:$A$186,"&lt;="&amp;DATE(2026,12,20))+SUMIFS(Jumat!$H$7:$H$186,Jumat!$C$7:$C$186,$B21,Jumat!$A$7:$A$186,"&gt;="&amp;DATE(2026,12,14),Jumat!$A$7:$A$186,"&lt;="&amp;DATE(2026,12,20))</f>
        <v>0</v>
      </c>
      <c r="AA21" s="45">
        <f>SUMIFS(Senin!$H$7:$H$146,Senin!$C$7:$C$146,$B21,Senin!$A$7:$A$146,"&gt;="&amp;DATE(2026,12,21),Senin!$A$7:$A$146,"&lt;="&amp;DATE(2026,12,27))+SUMIFS(Selasa!$H$7:$H$166,Selasa!$C$7:$C$166,$B21,Selasa!$A$7:$A$166,"&gt;="&amp;DATE(2026,12,21),Selasa!$A$7:$A$166,"&lt;="&amp;DATE(2026,12,27))+SUMIFS(Rabu!$H$7:$H$206,Rabu!$C$7:$C$206,$B21,Rabu!$A$7:$A$206,"&gt;="&amp;DATE(2026,12,21),Rabu!$A$7:$A$206,"&lt;="&amp;DATE(2026,12,27))+SUMIFS(Kamis!$H$7:$H$186,Kamis!$C$7:$C$186,$B21,Kamis!$A$7:$A$186,"&gt;="&amp;DATE(2026,12,21),Kamis!$A$7:$A$186,"&lt;="&amp;DATE(2026,12,27))+SUMIFS(Jumat!$H$7:$H$186,Jumat!$C$7:$C$186,$B21,Jumat!$A$7:$A$186,"&gt;="&amp;DATE(2026,12,21),Jumat!$A$7:$A$186,"&lt;="&amp;DATE(2026,12,27))</f>
        <v>0</v>
      </c>
      <c r="AB21" s="45">
        <f>SUMIFS(Senin!$H$7:$H$146,Senin!$C$7:$C$146,$B21,Senin!$A$7:$A$146,"&gt;="&amp;DATE(2026,12,28),Senin!$A$7:$A$146,"&lt;="&amp;DATE(2027,1,3))+SUMIFS(Selasa!$H$7:$H$166,Selasa!$C$7:$C$166,$B21,Selasa!$A$7:$A$166,"&gt;="&amp;DATE(2026,12,28),Selasa!$A$7:$A$166,"&lt;="&amp;DATE(2027,1,3))+SUMIFS(Rabu!$H$7:$H$206,Rabu!$C$7:$C$206,$B21,Rabu!$A$7:$A$206,"&gt;="&amp;DATE(2026,12,28),Rabu!$A$7:$A$206,"&lt;="&amp;DATE(2027,1,3))+SUMIFS(Kamis!$H$7:$H$186,Kamis!$C$7:$C$186,$B21,Kamis!$A$7:$A$186,"&gt;="&amp;DATE(2026,12,28),Kamis!$A$7:$A$186,"&lt;="&amp;DATE(2027,1,3))+SUMIFS(Jumat!$H$7:$H$186,Jumat!$C$7:$C$186,$B21,Jumat!$A$7:$A$186,"&gt;="&amp;DATE(2026,12,28),Jumat!$A$7:$A$186,"&lt;="&amp;DATE(2027,1,3))</f>
        <v>0</v>
      </c>
      <c r="AC21" s="45">
        <f>SUMIFS(Senin!$H$7:$H$146,Senin!$C$7:$C$146,$B21,Senin!$A$7:$A$146,"&gt;="&amp;DATE(2027,1,4),Senin!$A$7:$A$146,"&lt;="&amp;DATE(2027,1,10))+SUMIFS(Selasa!$H$7:$H$166,Selasa!$C$7:$C$166,$B21,Selasa!$A$7:$A$166,"&gt;="&amp;DATE(2027,1,4),Selasa!$A$7:$A$166,"&lt;="&amp;DATE(2027,1,10))+SUMIFS(Rabu!$H$7:$H$206,Rabu!$C$7:$C$206,$B21,Rabu!$A$7:$A$206,"&gt;="&amp;DATE(2027,1,4),Rabu!$A$7:$A$206,"&lt;="&amp;DATE(2027,1,10))+SUMIFS(Kamis!$H$7:$H$186,Kamis!$C$7:$C$186,$B21,Kamis!$A$7:$A$186,"&gt;="&amp;DATE(2027,1,4),Kamis!$A$7:$A$186,"&lt;="&amp;DATE(2027,1,10))+SUMIFS(Jumat!$H$7:$H$186,Jumat!$C$7:$C$186,$B21,Jumat!$A$7:$A$186,"&gt;="&amp;DATE(2027,1,4),Jumat!$A$7:$A$186,"&lt;="&amp;DATE(2027,1,10))</f>
        <v>0</v>
      </c>
      <c r="AD21" s="45">
        <f>SUMIFS(Senin!$H$7:$H$146,Senin!$C$7:$C$146,$B21,Senin!$A$7:$A$146,"&gt;="&amp;DATE(2027,1,11),Senin!$A$7:$A$146,"&lt;="&amp;DATE(2027,1,17))+SUMIFS(Selasa!$H$7:$H$166,Selasa!$C$7:$C$166,$B21,Selasa!$A$7:$A$166,"&gt;="&amp;DATE(2027,1,11),Selasa!$A$7:$A$166,"&lt;="&amp;DATE(2027,1,17))+SUMIFS(Rabu!$H$7:$H$206,Rabu!$C$7:$C$206,$B21,Rabu!$A$7:$A$206,"&gt;="&amp;DATE(2027,1,11),Rabu!$A$7:$A$206,"&lt;="&amp;DATE(2027,1,17))+SUMIFS(Kamis!$H$7:$H$186,Kamis!$C$7:$C$186,$B21,Kamis!$A$7:$A$186,"&gt;="&amp;DATE(2027,1,11),Kamis!$A$7:$A$186,"&lt;="&amp;DATE(2027,1,17))+SUMIFS(Jumat!$H$7:$H$186,Jumat!$C$7:$C$186,$B21,Jumat!$A$7:$A$186,"&gt;="&amp;DATE(2027,1,11),Jumat!$A$7:$A$186,"&lt;="&amp;DATE(2027,1,17))</f>
        <v>0</v>
      </c>
    </row>
    <row r="22" ht="15.75" customHeight="1">
      <c r="A22" s="27">
        <v>19.0</v>
      </c>
      <c r="B22" s="61" t="s">
        <v>50</v>
      </c>
      <c r="C22" s="41">
        <f>COUNTIFS(Senin!$C$7:$C$146,$B22,Senin!$G$7:$G$146,"Ya",Senin!$E$7:$E$146,"&lt;&gt;")+COUNTIFS(Selasa!$C$7:$C$166,$B22,Selasa!$G$7:$G$166,"Ya",Selasa!$E$7:$E$166,"&lt;&gt;")+COUNTIFS(Rabu!$C$7:$C$206,$B22,Rabu!$G$7:$G$206,"Ya",Rabu!$E$7:$E$206,"&lt;&gt;")+COUNTIFS(Kamis!$C$7:$C$186,$B22,Kamis!$G$7:$G$186,"Ya",Kamis!$E$7:$E$186,"&lt;&gt;")+COUNTIFS(Jumat!$C$7:$C$186,$B22,Jumat!$G$7:$G$186,"Ya",Jumat!$E$7:$E$186,"&lt;&gt;")</f>
        <v>0</v>
      </c>
      <c r="D22" s="41">
        <f>COUNTIFS(Senin!$C$7:$C$146,$B22,Senin!$G$7:$G$146,"Ya",Senin!$E$7:$E$146,"")+COUNTIFS(Selasa!$C$7:$C$166,$B22,Selasa!$G$7:$G$166,"Ya",Selasa!$E$7:$E$166,"")+COUNTIFS(Rabu!$C$7:$C$206,$B22,Rabu!$G$7:$G$206,"Ya",Rabu!$E$7:$E$206,"")+COUNTIFS(Kamis!$C$7:$C$186,$B22,Kamis!$G$7:$G$186,"Ya",Kamis!$E$7:$E$186,"")+COUNTIFS(Jumat!$C$7:$C$186,$B22,Jumat!$G$7:$G$186,"Ya",Jumat!$E$7:$E$186,"")</f>
        <v>1</v>
      </c>
      <c r="E22" s="45">
        <f>SUMIFS(Senin!$H$7:$H$146,Senin!$C$7:$C$146,$B22,Senin!$A$7:$A$146,"&gt;="&amp;DATE(2026,8,1),Senin!$A$7:$A$146,"&lt;="&amp;DATE(2026,12,31))+SUMIFS(Selasa!$H$7:$H$166,Selasa!$C$7:$C$166,$B22,Selasa!$A$7:$A$166,"&gt;="&amp;DATE(2026,8,1),Selasa!$A$7:$A$166,"&lt;="&amp;DATE(2026,12,31))+SUMIFS(Rabu!$H$7:$H$206,Rabu!$C$7:$C$206,$B22,Rabu!$A$7:$A$206,"&gt;="&amp;DATE(2026,8,1),Rabu!$A$7:$A$206,"&lt;="&amp;DATE(2026,12,31))+SUMIFS(Kamis!$H$7:$H$186,Kamis!$C$7:$C$186,$B22,Kamis!$A$7:$A$186,"&gt;="&amp;DATE(2026,8,1),Kamis!$A$7:$A$186,"&lt;="&amp;DATE(2026,12,31))+SUMIFS(Jumat!$H$7:$H$186,Jumat!$C$7:$C$186,$B22,Jumat!$A$7:$A$186,"&gt;="&amp;DATE(2026,8,1),Jumat!$A$7:$A$186,"&lt;="&amp;DATE(2026,12,31))</f>
        <v>10000</v>
      </c>
      <c r="F22" s="45">
        <f>SUMIFS(Senin!$H$7:$H$146,Senin!$C$7:$C$146,$B22,Senin!$A$7:$A$146,"&gt;="&amp;DATE(2026,8,1),Senin!$A$7:$A$146,"&lt;="&amp;DATE(2026,8,31))+SUMIFS(Selasa!$H$7:$H$166,Selasa!$C$7:$C$166,$B22,Selasa!$A$7:$A$166,"&gt;="&amp;DATE(2026,8,1),Selasa!$A$7:$A$166,"&lt;="&amp;DATE(2026,8,31))+SUMIFS(Rabu!$H$7:$H$206,Rabu!$C$7:$C$206,$B22,Rabu!$A$7:$A$206,"&gt;="&amp;DATE(2026,8,1),Rabu!$A$7:$A$206,"&lt;="&amp;DATE(2026,8,31))+SUMIFS(Kamis!$H$7:$H$186,Kamis!$C$7:$C$186,$B22,Kamis!$A$7:$A$186,"&gt;="&amp;DATE(2026,8,1),Kamis!$A$7:$A$186,"&lt;="&amp;DATE(2026,8,31))+SUMIFS(Jumat!$H$7:$H$186,Jumat!$C$7:$C$186,$B22,Jumat!$A$7:$A$186,"&gt;="&amp;DATE(2026,8,1),Jumat!$A$7:$A$186,"&lt;="&amp;DATE(2026,8,31))</f>
        <v>0</v>
      </c>
      <c r="G22" s="45">
        <f>SUMIFS(Senin!$H$7:$H$146,Senin!$C$7:$C$146,$B22,Senin!$A$7:$A$146,"&gt;="&amp;DATE(2026,9,1),Senin!$A$7:$A$146,"&lt;="&amp;DATE(2026,9,30))+SUMIFS(Selasa!$H$7:$H$166,Selasa!$C$7:$C$166,$B22,Selasa!$A$7:$A$166,"&gt;="&amp;DATE(2026,9,1),Selasa!$A$7:$A$166,"&lt;="&amp;DATE(2026,9,30))+SUMIFS(Rabu!$H$7:$H$206,Rabu!$C$7:$C$206,$B22,Rabu!$A$7:$A$206,"&gt;="&amp;DATE(2026,9,1),Rabu!$A$7:$A$206,"&lt;="&amp;DATE(2026,9,30))+SUMIFS(Kamis!$H$7:$H$186,Kamis!$C$7:$C$186,$B22,Kamis!$A$7:$A$186,"&gt;="&amp;DATE(2026,9,1),Kamis!$A$7:$A$186,"&lt;="&amp;DATE(2026,9,30))+SUMIFS(Jumat!$H$7:$H$186,Jumat!$C$7:$C$186,$B22,Jumat!$A$7:$A$186,"&gt;="&amp;DATE(2026,9,1),Jumat!$A$7:$A$186,"&lt;="&amp;DATE(2026,9,30))</f>
        <v>10000</v>
      </c>
      <c r="H22" s="45">
        <f>SUMIFS(Senin!$H$7:$H$146,Senin!$C$7:$C$146,$B22,Senin!$A$7:$A$146,"&gt;="&amp;DATE(2026,10,1),Senin!$A$7:$A$146,"&lt;="&amp;DATE(2026,10,31))+SUMIFS(Selasa!$H$7:$H$166,Selasa!$C$7:$C$166,$B22,Selasa!$A$7:$A$166,"&gt;="&amp;DATE(2026,10,1),Selasa!$A$7:$A$166,"&lt;="&amp;DATE(2026,10,31))+SUMIFS(Rabu!$H$7:$H$206,Rabu!$C$7:$C$206,$B22,Rabu!$A$7:$A$206,"&gt;="&amp;DATE(2026,10,1),Rabu!$A$7:$A$206,"&lt;="&amp;DATE(2026,10,31))+SUMIFS(Kamis!$H$7:$H$186,Kamis!$C$7:$C$186,$B22,Kamis!$A$7:$A$186,"&gt;="&amp;DATE(2026,10,1),Kamis!$A$7:$A$186,"&lt;="&amp;DATE(2026,10,31))+SUMIFS(Jumat!$H$7:$H$186,Jumat!$C$7:$C$186,$B22,Jumat!$A$7:$A$186,"&gt;="&amp;DATE(2026,10,1),Jumat!$A$7:$A$186,"&lt;="&amp;DATE(2026,10,31))</f>
        <v>0</v>
      </c>
      <c r="I22" s="45">
        <f>SUMIFS(Senin!$H$7:$H$146,Senin!$C$7:$C$146,$B22,Senin!$A$7:$A$146,"&gt;="&amp;DATE(2026,11,1),Senin!$A$7:$A$146,"&lt;="&amp;DATE(2026,11,30))+SUMIFS(Selasa!$H$7:$H$166,Selasa!$C$7:$C$166,$B22,Selasa!$A$7:$A$166,"&gt;="&amp;DATE(2026,11,1),Selasa!$A$7:$A$166,"&lt;="&amp;DATE(2026,11,30))+SUMIFS(Rabu!$H$7:$H$206,Rabu!$C$7:$C$206,$B22,Rabu!$A$7:$A$206,"&gt;="&amp;DATE(2026,11,1),Rabu!$A$7:$A$206,"&lt;="&amp;DATE(2026,11,30))+SUMIFS(Kamis!$H$7:$H$186,Kamis!$C$7:$C$186,$B22,Kamis!$A$7:$A$186,"&gt;="&amp;DATE(2026,11,1),Kamis!$A$7:$A$186,"&lt;="&amp;DATE(2026,11,30))+SUMIFS(Jumat!$H$7:$H$186,Jumat!$C$7:$C$186,$B22,Jumat!$A$7:$A$186,"&gt;="&amp;DATE(2026,11,1),Jumat!$A$7:$A$186,"&lt;="&amp;DATE(2026,11,30))</f>
        <v>0</v>
      </c>
      <c r="J22" s="45">
        <f>SUMIFS(Senin!$H$7:$H$146,Senin!$C$7:$C$146,$B22,Senin!$A$7:$A$146,"&gt;="&amp;DATE(2026,12,1),Senin!$A$7:$A$146,"&lt;="&amp;DATE(2026,12,31))+SUMIFS(Selasa!$H$7:$H$166,Selasa!$C$7:$C$166,$B22,Selasa!$A$7:$A$166,"&gt;="&amp;DATE(2026,12,1),Selasa!$A$7:$A$166,"&lt;="&amp;DATE(2026,12,31))+SUMIFS(Rabu!$H$7:$H$206,Rabu!$C$7:$C$206,$B22,Rabu!$A$7:$A$206,"&gt;="&amp;DATE(2026,12,1),Rabu!$A$7:$A$206,"&lt;="&amp;DATE(2026,12,31))+SUMIFS(Kamis!$H$7:$H$186,Kamis!$C$7:$C$186,$B22,Kamis!$A$7:$A$186,"&gt;="&amp;DATE(2026,12,1),Kamis!$A$7:$A$186,"&lt;="&amp;DATE(2026,12,31))+SUMIFS(Jumat!$H$7:$H$186,Jumat!$C$7:$C$186,$B22,Jumat!$A$7:$A$186,"&gt;="&amp;DATE(2026,12,1),Jumat!$A$7:$A$186,"&lt;="&amp;DATE(2026,12,31))</f>
        <v>0</v>
      </c>
      <c r="K22" s="45">
        <f>SUMIFS(Senin!$H$7:$H$146,Senin!$C$7:$C$146,$B22,Senin!$A$7:$A$146,"&gt;="&amp;DATE(2026,8,31),Senin!$A$7:$A$146,"&lt;="&amp;DATE(2026,9,6))+SUMIFS(Selasa!$H$7:$H$166,Selasa!$C$7:$C$166,$B22,Selasa!$A$7:$A$166,"&gt;="&amp;DATE(2026,8,31),Selasa!$A$7:$A$166,"&lt;="&amp;DATE(2026,9,6))+SUMIFS(Rabu!$H$7:$H$206,Rabu!$C$7:$C$206,$B22,Rabu!$A$7:$A$206,"&gt;="&amp;DATE(2026,8,31),Rabu!$A$7:$A$206,"&lt;="&amp;DATE(2026,9,6))+SUMIFS(Kamis!$H$7:$H$186,Kamis!$C$7:$C$186,$B22,Kamis!$A$7:$A$186,"&gt;="&amp;DATE(2026,8,31),Kamis!$A$7:$A$186,"&lt;="&amp;DATE(2026,9,6))+SUMIFS(Jumat!$H$7:$H$186,Jumat!$C$7:$C$186,$B22,Jumat!$A$7:$A$186,"&gt;="&amp;DATE(2026,8,31),Jumat!$A$7:$A$186,"&lt;="&amp;DATE(2026,9,6))</f>
        <v>0</v>
      </c>
      <c r="L22" s="45">
        <f>SUMIFS(Senin!$H$7:$H$146,Senin!$C$7:$C$146,$B22,Senin!$A$7:$A$146,"&gt;="&amp;DATE(2026,9,7),Senin!$A$7:$A$146,"&lt;="&amp;DATE(2026,9,13))+SUMIFS(Selasa!$H$7:$H$166,Selasa!$C$7:$C$166,$B22,Selasa!$A$7:$A$166,"&gt;="&amp;DATE(2026,9,7),Selasa!$A$7:$A$166,"&lt;="&amp;DATE(2026,9,13))+SUMIFS(Rabu!$H$7:$H$206,Rabu!$C$7:$C$206,$B22,Rabu!$A$7:$A$206,"&gt;="&amp;DATE(2026,9,7),Rabu!$A$7:$A$206,"&lt;="&amp;DATE(2026,9,13))+SUMIFS(Kamis!$H$7:$H$186,Kamis!$C$7:$C$186,$B22,Kamis!$A$7:$A$186,"&gt;="&amp;DATE(2026,9,7),Kamis!$A$7:$A$186,"&lt;="&amp;DATE(2026,9,13))+SUMIFS(Jumat!$H$7:$H$186,Jumat!$C$7:$C$186,$B22,Jumat!$A$7:$A$186,"&gt;="&amp;DATE(2026,9,7),Jumat!$A$7:$A$186,"&lt;="&amp;DATE(2026,9,13))</f>
        <v>10000</v>
      </c>
      <c r="M22" s="45">
        <f>SUMIFS(Senin!$H$7:$H$146,Senin!$C$7:$C$146,$B22,Senin!$A$7:$A$146,"&gt;="&amp;DATE(2026,9,14),Senin!$A$7:$A$146,"&lt;="&amp;DATE(2026,9,20))+SUMIFS(Selasa!$H$7:$H$166,Selasa!$C$7:$C$166,$B22,Selasa!$A$7:$A$166,"&gt;="&amp;DATE(2026,9,14),Selasa!$A$7:$A$166,"&lt;="&amp;DATE(2026,9,20))+SUMIFS(Rabu!$H$7:$H$206,Rabu!$C$7:$C$206,$B22,Rabu!$A$7:$A$206,"&gt;="&amp;DATE(2026,9,14),Rabu!$A$7:$A$206,"&lt;="&amp;DATE(2026,9,20))+SUMIFS(Kamis!$H$7:$H$186,Kamis!$C$7:$C$186,$B22,Kamis!$A$7:$A$186,"&gt;="&amp;DATE(2026,9,14),Kamis!$A$7:$A$186,"&lt;="&amp;DATE(2026,9,20))+SUMIFS(Jumat!$H$7:$H$186,Jumat!$C$7:$C$186,$B22,Jumat!$A$7:$A$186,"&gt;="&amp;DATE(2026,9,14),Jumat!$A$7:$A$186,"&lt;="&amp;DATE(2026,9,20))</f>
        <v>0</v>
      </c>
      <c r="N22" s="45">
        <f>SUMIFS(Senin!$H$7:$H$146,Senin!$C$7:$C$146,$B22,Senin!$A$7:$A$146,"&gt;="&amp;DATE(2026,9,21),Senin!$A$7:$A$146,"&lt;="&amp;DATE(2026,9,27))+SUMIFS(Selasa!$H$7:$H$166,Selasa!$C$7:$C$166,$B22,Selasa!$A$7:$A$166,"&gt;="&amp;DATE(2026,9,21),Selasa!$A$7:$A$166,"&lt;="&amp;DATE(2026,9,27))+SUMIFS(Rabu!$H$7:$H$206,Rabu!$C$7:$C$206,$B22,Rabu!$A$7:$A$206,"&gt;="&amp;DATE(2026,9,21),Rabu!$A$7:$A$206,"&lt;="&amp;DATE(2026,9,27))+SUMIFS(Kamis!$H$7:$H$186,Kamis!$C$7:$C$186,$B22,Kamis!$A$7:$A$186,"&gt;="&amp;DATE(2026,9,21),Kamis!$A$7:$A$186,"&lt;="&amp;DATE(2026,9,27))+SUMIFS(Jumat!$H$7:$H$186,Jumat!$C$7:$C$186,$B22,Jumat!$A$7:$A$186,"&gt;="&amp;DATE(2026,9,21),Jumat!$A$7:$A$186,"&lt;="&amp;DATE(2026,9,27))</f>
        <v>0</v>
      </c>
      <c r="O22" s="45">
        <f>SUMIFS(Senin!$H$7:$H$146,Senin!$C$7:$C$146,$B22,Senin!$A$7:$A$146,"&gt;="&amp;DATE(2026,9,28),Senin!$A$7:$A$146,"&lt;="&amp;DATE(2026,10,4))+SUMIFS(Selasa!$H$7:$H$166,Selasa!$C$7:$C$166,$B22,Selasa!$A$7:$A$166,"&gt;="&amp;DATE(2026,9,28),Selasa!$A$7:$A$166,"&lt;="&amp;DATE(2026,10,4))+SUMIFS(Rabu!$H$7:$H$206,Rabu!$C$7:$C$206,$B22,Rabu!$A$7:$A$206,"&gt;="&amp;DATE(2026,9,28),Rabu!$A$7:$A$206,"&lt;="&amp;DATE(2026,10,4))+SUMIFS(Kamis!$H$7:$H$186,Kamis!$C$7:$C$186,$B22,Kamis!$A$7:$A$186,"&gt;="&amp;DATE(2026,9,28),Kamis!$A$7:$A$186,"&lt;="&amp;DATE(2026,10,4))+SUMIFS(Jumat!$H$7:$H$186,Jumat!$C$7:$C$186,$B22,Jumat!$A$7:$A$186,"&gt;="&amp;DATE(2026,9,28),Jumat!$A$7:$A$186,"&lt;="&amp;DATE(2026,10,4))</f>
        <v>0</v>
      </c>
      <c r="P22" s="45">
        <f>SUMIFS(Senin!$H$7:$H$146,Senin!$C$7:$C$146,$B22,Senin!$A$7:$A$146,"&gt;="&amp;DATE(2026,10,5),Senin!$A$7:$A$146,"&lt;="&amp;DATE(2026,10,11))+SUMIFS(Selasa!$H$7:$H$166,Selasa!$C$7:$C$166,$B22,Selasa!$A$7:$A$166,"&gt;="&amp;DATE(2026,10,5),Selasa!$A$7:$A$166,"&lt;="&amp;DATE(2026,10,11))+SUMIFS(Rabu!$H$7:$H$206,Rabu!$C$7:$C$206,$B22,Rabu!$A$7:$A$206,"&gt;="&amp;DATE(2026,10,5),Rabu!$A$7:$A$206,"&lt;="&amp;DATE(2026,10,11))+SUMIFS(Kamis!$H$7:$H$186,Kamis!$C$7:$C$186,$B22,Kamis!$A$7:$A$186,"&gt;="&amp;DATE(2026,10,5),Kamis!$A$7:$A$186,"&lt;="&amp;DATE(2026,10,11))+SUMIFS(Jumat!$H$7:$H$186,Jumat!$C$7:$C$186,$B22,Jumat!$A$7:$A$186,"&gt;="&amp;DATE(2026,10,5),Jumat!$A$7:$A$186,"&lt;="&amp;DATE(2026,10,11))</f>
        <v>0</v>
      </c>
      <c r="Q22" s="45">
        <f>SUMIFS(Senin!$H$7:$H$146,Senin!$C$7:$C$146,$B22,Senin!$A$7:$A$146,"&gt;="&amp;DATE(2026,10,12),Senin!$A$7:$A$146,"&lt;="&amp;DATE(2026,10,18))+SUMIFS(Selasa!$H$7:$H$166,Selasa!$C$7:$C$166,$B22,Selasa!$A$7:$A$166,"&gt;="&amp;DATE(2026,10,12),Selasa!$A$7:$A$166,"&lt;="&amp;DATE(2026,10,18))+SUMIFS(Rabu!$H$7:$H$206,Rabu!$C$7:$C$206,$B22,Rabu!$A$7:$A$206,"&gt;="&amp;DATE(2026,10,12),Rabu!$A$7:$A$206,"&lt;="&amp;DATE(2026,10,18))+SUMIFS(Kamis!$H$7:$H$186,Kamis!$C$7:$C$186,$B22,Kamis!$A$7:$A$186,"&gt;="&amp;DATE(2026,10,12),Kamis!$A$7:$A$186,"&lt;="&amp;DATE(2026,10,18))+SUMIFS(Jumat!$H$7:$H$186,Jumat!$C$7:$C$186,$B22,Jumat!$A$7:$A$186,"&gt;="&amp;DATE(2026,10,12),Jumat!$A$7:$A$186,"&lt;="&amp;DATE(2026,10,18))</f>
        <v>0</v>
      </c>
      <c r="R22" s="45">
        <f>SUMIFS(Senin!$H$7:$H$146,Senin!$C$7:$C$146,$B22,Senin!$A$7:$A$146,"&gt;="&amp;DATE(2026,10,19),Senin!$A$7:$A$146,"&lt;="&amp;DATE(2026,10,25))+SUMIFS(Selasa!$H$7:$H$166,Selasa!$C$7:$C$166,$B22,Selasa!$A$7:$A$166,"&gt;="&amp;DATE(2026,10,19),Selasa!$A$7:$A$166,"&lt;="&amp;DATE(2026,10,25))+SUMIFS(Rabu!$H$7:$H$206,Rabu!$C$7:$C$206,$B22,Rabu!$A$7:$A$206,"&gt;="&amp;DATE(2026,10,19),Rabu!$A$7:$A$206,"&lt;="&amp;DATE(2026,10,25))+SUMIFS(Kamis!$H$7:$H$186,Kamis!$C$7:$C$186,$B22,Kamis!$A$7:$A$186,"&gt;="&amp;DATE(2026,10,19),Kamis!$A$7:$A$186,"&lt;="&amp;DATE(2026,10,25))+SUMIFS(Jumat!$H$7:$H$186,Jumat!$C$7:$C$186,$B22,Jumat!$A$7:$A$186,"&gt;="&amp;DATE(2026,10,19),Jumat!$A$7:$A$186,"&lt;="&amp;DATE(2026,10,25))</f>
        <v>0</v>
      </c>
      <c r="S22" s="45">
        <f>SUMIFS(Senin!$H$7:$H$146,Senin!$C$7:$C$146,$B22,Senin!$A$7:$A$146,"&gt;="&amp;DATE(2026,10,26),Senin!$A$7:$A$146,"&lt;="&amp;DATE(2026,11,1))+SUMIFS(Selasa!$H$7:$H$166,Selasa!$C$7:$C$166,$B22,Selasa!$A$7:$A$166,"&gt;="&amp;DATE(2026,10,26),Selasa!$A$7:$A$166,"&lt;="&amp;DATE(2026,11,1))+SUMIFS(Rabu!$H$7:$H$206,Rabu!$C$7:$C$206,$B22,Rabu!$A$7:$A$206,"&gt;="&amp;DATE(2026,10,26),Rabu!$A$7:$A$206,"&lt;="&amp;DATE(2026,11,1))+SUMIFS(Kamis!$H$7:$H$186,Kamis!$C$7:$C$186,$B22,Kamis!$A$7:$A$186,"&gt;="&amp;DATE(2026,10,26),Kamis!$A$7:$A$186,"&lt;="&amp;DATE(2026,11,1))+SUMIFS(Jumat!$H$7:$H$186,Jumat!$C$7:$C$186,$B22,Jumat!$A$7:$A$186,"&gt;="&amp;DATE(2026,10,26),Jumat!$A$7:$A$186,"&lt;="&amp;DATE(2026,11,1))</f>
        <v>0</v>
      </c>
      <c r="T22" s="45">
        <f>SUMIFS(Senin!$H$7:$H$146,Senin!$C$7:$C$146,$B22,Senin!$A$7:$A$146,"&gt;="&amp;DATE(2026,11,2),Senin!$A$7:$A$146,"&lt;="&amp;DATE(2026,11,8))+SUMIFS(Selasa!$H$7:$H$166,Selasa!$C$7:$C$166,$B22,Selasa!$A$7:$A$166,"&gt;="&amp;DATE(2026,11,2),Selasa!$A$7:$A$166,"&lt;="&amp;DATE(2026,11,8))+SUMIFS(Rabu!$H$7:$H$206,Rabu!$C$7:$C$206,$B22,Rabu!$A$7:$A$206,"&gt;="&amp;DATE(2026,11,2),Rabu!$A$7:$A$206,"&lt;="&amp;DATE(2026,11,8))+SUMIFS(Kamis!$H$7:$H$186,Kamis!$C$7:$C$186,$B22,Kamis!$A$7:$A$186,"&gt;="&amp;DATE(2026,11,2),Kamis!$A$7:$A$186,"&lt;="&amp;DATE(2026,11,8))+SUMIFS(Jumat!$H$7:$H$186,Jumat!$C$7:$C$186,$B22,Jumat!$A$7:$A$186,"&gt;="&amp;DATE(2026,11,2),Jumat!$A$7:$A$186,"&lt;="&amp;DATE(2026,11,8))</f>
        <v>0</v>
      </c>
      <c r="U22" s="45">
        <f>SUMIFS(Senin!$H$7:$H$146,Senin!$C$7:$C$146,$B22,Senin!$A$7:$A$146,"&gt;="&amp;DATE(2026,11,9),Senin!$A$7:$A$146,"&lt;="&amp;DATE(2026,11,15))+SUMIFS(Selasa!$H$7:$H$166,Selasa!$C$7:$C$166,$B22,Selasa!$A$7:$A$166,"&gt;="&amp;DATE(2026,11,9),Selasa!$A$7:$A$166,"&lt;="&amp;DATE(2026,11,15))+SUMIFS(Rabu!$H$7:$H$206,Rabu!$C$7:$C$206,$B22,Rabu!$A$7:$A$206,"&gt;="&amp;DATE(2026,11,9),Rabu!$A$7:$A$206,"&lt;="&amp;DATE(2026,11,15))+SUMIFS(Kamis!$H$7:$H$186,Kamis!$C$7:$C$186,$B22,Kamis!$A$7:$A$186,"&gt;="&amp;DATE(2026,11,9),Kamis!$A$7:$A$186,"&lt;="&amp;DATE(2026,11,15))+SUMIFS(Jumat!$H$7:$H$186,Jumat!$C$7:$C$186,$B22,Jumat!$A$7:$A$186,"&gt;="&amp;DATE(2026,11,9),Jumat!$A$7:$A$186,"&lt;="&amp;DATE(2026,11,15))</f>
        <v>0</v>
      </c>
      <c r="V22" s="45">
        <f>SUMIFS(Senin!$H$7:$H$146,Senin!$C$7:$C$146,$B22,Senin!$A$7:$A$146,"&gt;="&amp;DATE(2026,11,16),Senin!$A$7:$A$146,"&lt;="&amp;DATE(2026,11,22))+SUMIFS(Selasa!$H$7:$H$166,Selasa!$C$7:$C$166,$B22,Selasa!$A$7:$A$166,"&gt;="&amp;DATE(2026,11,16),Selasa!$A$7:$A$166,"&lt;="&amp;DATE(2026,11,22))+SUMIFS(Rabu!$H$7:$H$206,Rabu!$C$7:$C$206,$B22,Rabu!$A$7:$A$206,"&gt;="&amp;DATE(2026,11,16),Rabu!$A$7:$A$206,"&lt;="&amp;DATE(2026,11,22))+SUMIFS(Kamis!$H$7:$H$186,Kamis!$C$7:$C$186,$B22,Kamis!$A$7:$A$186,"&gt;="&amp;DATE(2026,11,16),Kamis!$A$7:$A$186,"&lt;="&amp;DATE(2026,11,22))+SUMIFS(Jumat!$H$7:$H$186,Jumat!$C$7:$C$186,$B22,Jumat!$A$7:$A$186,"&gt;="&amp;DATE(2026,11,16),Jumat!$A$7:$A$186,"&lt;="&amp;DATE(2026,11,22))</f>
        <v>0</v>
      </c>
      <c r="W22" s="45">
        <f>SUMIFS(Senin!$H$7:$H$146,Senin!$C$7:$C$146,$B22,Senin!$A$7:$A$146,"&gt;="&amp;DATE(2026,11,23),Senin!$A$7:$A$146,"&lt;="&amp;DATE(2026,11,29))+SUMIFS(Selasa!$H$7:$H$166,Selasa!$C$7:$C$166,$B22,Selasa!$A$7:$A$166,"&gt;="&amp;DATE(2026,11,23),Selasa!$A$7:$A$166,"&lt;="&amp;DATE(2026,11,29))+SUMIFS(Rabu!$H$7:$H$206,Rabu!$C$7:$C$206,$B22,Rabu!$A$7:$A$206,"&gt;="&amp;DATE(2026,11,23),Rabu!$A$7:$A$206,"&lt;="&amp;DATE(2026,11,29))+SUMIFS(Kamis!$H$7:$H$186,Kamis!$C$7:$C$186,$B22,Kamis!$A$7:$A$186,"&gt;="&amp;DATE(2026,11,23),Kamis!$A$7:$A$186,"&lt;="&amp;DATE(2026,11,29))+SUMIFS(Jumat!$H$7:$H$186,Jumat!$C$7:$C$186,$B22,Jumat!$A$7:$A$186,"&gt;="&amp;DATE(2026,11,23),Jumat!$A$7:$A$186,"&lt;="&amp;DATE(2026,11,29))</f>
        <v>0</v>
      </c>
      <c r="X22" s="45">
        <f>SUMIFS(Senin!$H$7:$H$146,Senin!$C$7:$C$146,$B22,Senin!$A$7:$A$146,"&gt;="&amp;DATE(2026,11,30),Senin!$A$7:$A$146,"&lt;="&amp;DATE(2026,12,6))+SUMIFS(Selasa!$H$7:$H$166,Selasa!$C$7:$C$166,$B22,Selasa!$A$7:$A$166,"&gt;="&amp;DATE(2026,11,30),Selasa!$A$7:$A$166,"&lt;="&amp;DATE(2026,12,6))+SUMIFS(Rabu!$H$7:$H$206,Rabu!$C$7:$C$206,$B22,Rabu!$A$7:$A$206,"&gt;="&amp;DATE(2026,11,30),Rabu!$A$7:$A$206,"&lt;="&amp;DATE(2026,12,6))+SUMIFS(Kamis!$H$7:$H$186,Kamis!$C$7:$C$186,$B22,Kamis!$A$7:$A$186,"&gt;="&amp;DATE(2026,11,30),Kamis!$A$7:$A$186,"&lt;="&amp;DATE(2026,12,6))+SUMIFS(Jumat!$H$7:$H$186,Jumat!$C$7:$C$186,$B22,Jumat!$A$7:$A$186,"&gt;="&amp;DATE(2026,11,30),Jumat!$A$7:$A$186,"&lt;="&amp;DATE(2026,12,6))</f>
        <v>0</v>
      </c>
      <c r="Y22" s="45">
        <f>SUMIFS(Senin!$H$7:$H$146,Senin!$C$7:$C$146,$B22,Senin!$A$7:$A$146,"&gt;="&amp;DATE(2026,12,7),Senin!$A$7:$A$146,"&lt;="&amp;DATE(2026,12,13))+SUMIFS(Selasa!$H$7:$H$166,Selasa!$C$7:$C$166,$B22,Selasa!$A$7:$A$166,"&gt;="&amp;DATE(2026,12,7),Selasa!$A$7:$A$166,"&lt;="&amp;DATE(2026,12,13))+SUMIFS(Rabu!$H$7:$H$206,Rabu!$C$7:$C$206,$B22,Rabu!$A$7:$A$206,"&gt;="&amp;DATE(2026,12,7),Rabu!$A$7:$A$206,"&lt;="&amp;DATE(2026,12,13))+SUMIFS(Kamis!$H$7:$H$186,Kamis!$C$7:$C$186,$B22,Kamis!$A$7:$A$186,"&gt;="&amp;DATE(2026,12,7),Kamis!$A$7:$A$186,"&lt;="&amp;DATE(2026,12,13))+SUMIFS(Jumat!$H$7:$H$186,Jumat!$C$7:$C$186,$B22,Jumat!$A$7:$A$186,"&gt;="&amp;DATE(2026,12,7),Jumat!$A$7:$A$186,"&lt;="&amp;DATE(2026,12,13))</f>
        <v>0</v>
      </c>
      <c r="Z22" s="45">
        <f>SUMIFS(Senin!$H$7:$H$146,Senin!$C$7:$C$146,$B22,Senin!$A$7:$A$146,"&gt;="&amp;DATE(2026,12,14),Senin!$A$7:$A$146,"&lt;="&amp;DATE(2026,12,20))+SUMIFS(Selasa!$H$7:$H$166,Selasa!$C$7:$C$166,$B22,Selasa!$A$7:$A$166,"&gt;="&amp;DATE(2026,12,14),Selasa!$A$7:$A$166,"&lt;="&amp;DATE(2026,12,20))+SUMIFS(Rabu!$H$7:$H$206,Rabu!$C$7:$C$206,$B22,Rabu!$A$7:$A$206,"&gt;="&amp;DATE(2026,12,14),Rabu!$A$7:$A$206,"&lt;="&amp;DATE(2026,12,20))+SUMIFS(Kamis!$H$7:$H$186,Kamis!$C$7:$C$186,$B22,Kamis!$A$7:$A$186,"&gt;="&amp;DATE(2026,12,14),Kamis!$A$7:$A$186,"&lt;="&amp;DATE(2026,12,20))+SUMIFS(Jumat!$H$7:$H$186,Jumat!$C$7:$C$186,$B22,Jumat!$A$7:$A$186,"&gt;="&amp;DATE(2026,12,14),Jumat!$A$7:$A$186,"&lt;="&amp;DATE(2026,12,20))</f>
        <v>0</v>
      </c>
      <c r="AA22" s="45">
        <f>SUMIFS(Senin!$H$7:$H$146,Senin!$C$7:$C$146,$B22,Senin!$A$7:$A$146,"&gt;="&amp;DATE(2026,12,21),Senin!$A$7:$A$146,"&lt;="&amp;DATE(2026,12,27))+SUMIFS(Selasa!$H$7:$H$166,Selasa!$C$7:$C$166,$B22,Selasa!$A$7:$A$166,"&gt;="&amp;DATE(2026,12,21),Selasa!$A$7:$A$166,"&lt;="&amp;DATE(2026,12,27))+SUMIFS(Rabu!$H$7:$H$206,Rabu!$C$7:$C$206,$B22,Rabu!$A$7:$A$206,"&gt;="&amp;DATE(2026,12,21),Rabu!$A$7:$A$206,"&lt;="&amp;DATE(2026,12,27))+SUMIFS(Kamis!$H$7:$H$186,Kamis!$C$7:$C$186,$B22,Kamis!$A$7:$A$186,"&gt;="&amp;DATE(2026,12,21),Kamis!$A$7:$A$186,"&lt;="&amp;DATE(2026,12,27))+SUMIFS(Jumat!$H$7:$H$186,Jumat!$C$7:$C$186,$B22,Jumat!$A$7:$A$186,"&gt;="&amp;DATE(2026,12,21),Jumat!$A$7:$A$186,"&lt;="&amp;DATE(2026,12,27))</f>
        <v>0</v>
      </c>
      <c r="AB22" s="45">
        <f>SUMIFS(Senin!$H$7:$H$146,Senin!$C$7:$C$146,$B22,Senin!$A$7:$A$146,"&gt;="&amp;DATE(2026,12,28),Senin!$A$7:$A$146,"&lt;="&amp;DATE(2027,1,3))+SUMIFS(Selasa!$H$7:$H$166,Selasa!$C$7:$C$166,$B22,Selasa!$A$7:$A$166,"&gt;="&amp;DATE(2026,12,28),Selasa!$A$7:$A$166,"&lt;="&amp;DATE(2027,1,3))+SUMIFS(Rabu!$H$7:$H$206,Rabu!$C$7:$C$206,$B22,Rabu!$A$7:$A$206,"&gt;="&amp;DATE(2026,12,28),Rabu!$A$7:$A$206,"&lt;="&amp;DATE(2027,1,3))+SUMIFS(Kamis!$H$7:$H$186,Kamis!$C$7:$C$186,$B22,Kamis!$A$7:$A$186,"&gt;="&amp;DATE(2026,12,28),Kamis!$A$7:$A$186,"&lt;="&amp;DATE(2027,1,3))+SUMIFS(Jumat!$H$7:$H$186,Jumat!$C$7:$C$186,$B22,Jumat!$A$7:$A$186,"&gt;="&amp;DATE(2026,12,28),Jumat!$A$7:$A$186,"&lt;="&amp;DATE(2027,1,3))</f>
        <v>0</v>
      </c>
      <c r="AC22" s="45">
        <f>SUMIFS(Senin!$H$7:$H$146,Senin!$C$7:$C$146,$B22,Senin!$A$7:$A$146,"&gt;="&amp;DATE(2027,1,4),Senin!$A$7:$A$146,"&lt;="&amp;DATE(2027,1,10))+SUMIFS(Selasa!$H$7:$H$166,Selasa!$C$7:$C$166,$B22,Selasa!$A$7:$A$166,"&gt;="&amp;DATE(2027,1,4),Selasa!$A$7:$A$166,"&lt;="&amp;DATE(2027,1,10))+SUMIFS(Rabu!$H$7:$H$206,Rabu!$C$7:$C$206,$B22,Rabu!$A$7:$A$206,"&gt;="&amp;DATE(2027,1,4),Rabu!$A$7:$A$206,"&lt;="&amp;DATE(2027,1,10))+SUMIFS(Kamis!$H$7:$H$186,Kamis!$C$7:$C$186,$B22,Kamis!$A$7:$A$186,"&gt;="&amp;DATE(2027,1,4),Kamis!$A$7:$A$186,"&lt;="&amp;DATE(2027,1,10))+SUMIFS(Jumat!$H$7:$H$186,Jumat!$C$7:$C$186,$B22,Jumat!$A$7:$A$186,"&gt;="&amp;DATE(2027,1,4),Jumat!$A$7:$A$186,"&lt;="&amp;DATE(2027,1,10))</f>
        <v>0</v>
      </c>
      <c r="AD22" s="45">
        <f>SUMIFS(Senin!$H$7:$H$146,Senin!$C$7:$C$146,$B22,Senin!$A$7:$A$146,"&gt;="&amp;DATE(2027,1,11),Senin!$A$7:$A$146,"&lt;="&amp;DATE(2027,1,17))+SUMIFS(Selasa!$H$7:$H$166,Selasa!$C$7:$C$166,$B22,Selasa!$A$7:$A$166,"&gt;="&amp;DATE(2027,1,11),Selasa!$A$7:$A$166,"&lt;="&amp;DATE(2027,1,17))+SUMIFS(Rabu!$H$7:$H$206,Rabu!$C$7:$C$206,$B22,Rabu!$A$7:$A$206,"&gt;="&amp;DATE(2027,1,11),Rabu!$A$7:$A$206,"&lt;="&amp;DATE(2027,1,17))+SUMIFS(Kamis!$H$7:$H$186,Kamis!$C$7:$C$186,$B22,Kamis!$A$7:$A$186,"&gt;="&amp;DATE(2027,1,11),Kamis!$A$7:$A$186,"&lt;="&amp;DATE(2027,1,17))+SUMIFS(Jumat!$H$7:$H$186,Jumat!$C$7:$C$186,$B22,Jumat!$A$7:$A$186,"&gt;="&amp;DATE(2027,1,11),Jumat!$A$7:$A$186,"&lt;="&amp;DATE(2027,1,17))</f>
        <v>0</v>
      </c>
    </row>
    <row r="23" ht="15.75" customHeight="1">
      <c r="A23" s="27">
        <v>20.0</v>
      </c>
      <c r="B23" s="61" t="s">
        <v>59</v>
      </c>
      <c r="C23" s="41">
        <f>COUNTIFS(Senin!$C$7:$C$146,$B23,Senin!$G$7:$G$146,"Ya",Senin!$E$7:$E$146,"&lt;&gt;")+COUNTIFS(Selasa!$C$7:$C$166,$B23,Selasa!$G$7:$G$166,"Ya",Selasa!$E$7:$E$166,"&lt;&gt;")+COUNTIFS(Rabu!$C$7:$C$206,$B23,Rabu!$G$7:$G$206,"Ya",Rabu!$E$7:$E$206,"&lt;&gt;")+COUNTIFS(Kamis!$C$7:$C$186,$B23,Kamis!$G$7:$G$186,"Ya",Kamis!$E$7:$E$186,"&lt;&gt;")+COUNTIFS(Jumat!$C$7:$C$186,$B23,Jumat!$G$7:$G$186,"Ya",Jumat!$E$7:$E$186,"&lt;&gt;")</f>
        <v>0</v>
      </c>
      <c r="D23" s="41">
        <f>COUNTIFS(Senin!$C$7:$C$146,$B23,Senin!$G$7:$G$146,"Ya",Senin!$E$7:$E$146,"")+COUNTIFS(Selasa!$C$7:$C$166,$B23,Selasa!$G$7:$G$166,"Ya",Selasa!$E$7:$E$166,"")+COUNTIFS(Rabu!$C$7:$C$206,$B23,Rabu!$G$7:$G$206,"Ya",Rabu!$E$7:$E$206,"")+COUNTIFS(Kamis!$C$7:$C$186,$B23,Kamis!$G$7:$G$186,"Ya",Kamis!$E$7:$E$186,"")+COUNTIFS(Jumat!$C$7:$C$186,$B23,Jumat!$G$7:$G$186,"Ya",Jumat!$E$7:$E$186,"")</f>
        <v>0</v>
      </c>
      <c r="E23" s="45">
        <f>SUMIFS(Senin!$H$7:$H$146,Senin!$C$7:$C$146,$B23,Senin!$A$7:$A$146,"&gt;="&amp;DATE(2026,8,1),Senin!$A$7:$A$146,"&lt;="&amp;DATE(2026,12,31))+SUMIFS(Selasa!$H$7:$H$166,Selasa!$C$7:$C$166,$B23,Selasa!$A$7:$A$166,"&gt;="&amp;DATE(2026,8,1),Selasa!$A$7:$A$166,"&lt;="&amp;DATE(2026,12,31))+SUMIFS(Rabu!$H$7:$H$206,Rabu!$C$7:$C$206,$B23,Rabu!$A$7:$A$206,"&gt;="&amp;DATE(2026,8,1),Rabu!$A$7:$A$206,"&lt;="&amp;DATE(2026,12,31))+SUMIFS(Kamis!$H$7:$H$186,Kamis!$C$7:$C$186,$B23,Kamis!$A$7:$A$186,"&gt;="&amp;DATE(2026,8,1),Kamis!$A$7:$A$186,"&lt;="&amp;DATE(2026,12,31))+SUMIFS(Jumat!$H$7:$H$186,Jumat!$C$7:$C$186,$B23,Jumat!$A$7:$A$186,"&gt;="&amp;DATE(2026,8,1),Jumat!$A$7:$A$186,"&lt;="&amp;DATE(2026,12,31))</f>
        <v>0</v>
      </c>
      <c r="F23" s="45">
        <f>SUMIFS(Senin!$H$7:$H$146,Senin!$C$7:$C$146,$B23,Senin!$A$7:$A$146,"&gt;="&amp;DATE(2026,8,1),Senin!$A$7:$A$146,"&lt;="&amp;DATE(2026,8,31))+SUMIFS(Selasa!$H$7:$H$166,Selasa!$C$7:$C$166,$B23,Selasa!$A$7:$A$166,"&gt;="&amp;DATE(2026,8,1),Selasa!$A$7:$A$166,"&lt;="&amp;DATE(2026,8,31))+SUMIFS(Rabu!$H$7:$H$206,Rabu!$C$7:$C$206,$B23,Rabu!$A$7:$A$206,"&gt;="&amp;DATE(2026,8,1),Rabu!$A$7:$A$206,"&lt;="&amp;DATE(2026,8,31))+SUMIFS(Kamis!$H$7:$H$186,Kamis!$C$7:$C$186,$B23,Kamis!$A$7:$A$186,"&gt;="&amp;DATE(2026,8,1),Kamis!$A$7:$A$186,"&lt;="&amp;DATE(2026,8,31))+SUMIFS(Jumat!$H$7:$H$186,Jumat!$C$7:$C$186,$B23,Jumat!$A$7:$A$186,"&gt;="&amp;DATE(2026,8,1),Jumat!$A$7:$A$186,"&lt;="&amp;DATE(2026,8,31))</f>
        <v>0</v>
      </c>
      <c r="G23" s="45">
        <f>SUMIFS(Senin!$H$7:$H$146,Senin!$C$7:$C$146,$B23,Senin!$A$7:$A$146,"&gt;="&amp;DATE(2026,9,1),Senin!$A$7:$A$146,"&lt;="&amp;DATE(2026,9,30))+SUMIFS(Selasa!$H$7:$H$166,Selasa!$C$7:$C$166,$B23,Selasa!$A$7:$A$166,"&gt;="&amp;DATE(2026,9,1),Selasa!$A$7:$A$166,"&lt;="&amp;DATE(2026,9,30))+SUMIFS(Rabu!$H$7:$H$206,Rabu!$C$7:$C$206,$B23,Rabu!$A$7:$A$206,"&gt;="&amp;DATE(2026,9,1),Rabu!$A$7:$A$206,"&lt;="&amp;DATE(2026,9,30))+SUMIFS(Kamis!$H$7:$H$186,Kamis!$C$7:$C$186,$B23,Kamis!$A$7:$A$186,"&gt;="&amp;DATE(2026,9,1),Kamis!$A$7:$A$186,"&lt;="&amp;DATE(2026,9,30))+SUMIFS(Jumat!$H$7:$H$186,Jumat!$C$7:$C$186,$B23,Jumat!$A$7:$A$186,"&gt;="&amp;DATE(2026,9,1),Jumat!$A$7:$A$186,"&lt;="&amp;DATE(2026,9,30))</f>
        <v>0</v>
      </c>
      <c r="H23" s="45">
        <f>SUMIFS(Senin!$H$7:$H$146,Senin!$C$7:$C$146,$B23,Senin!$A$7:$A$146,"&gt;="&amp;DATE(2026,10,1),Senin!$A$7:$A$146,"&lt;="&amp;DATE(2026,10,31))+SUMIFS(Selasa!$H$7:$H$166,Selasa!$C$7:$C$166,$B23,Selasa!$A$7:$A$166,"&gt;="&amp;DATE(2026,10,1),Selasa!$A$7:$A$166,"&lt;="&amp;DATE(2026,10,31))+SUMIFS(Rabu!$H$7:$H$206,Rabu!$C$7:$C$206,$B23,Rabu!$A$7:$A$206,"&gt;="&amp;DATE(2026,10,1),Rabu!$A$7:$A$206,"&lt;="&amp;DATE(2026,10,31))+SUMIFS(Kamis!$H$7:$H$186,Kamis!$C$7:$C$186,$B23,Kamis!$A$7:$A$186,"&gt;="&amp;DATE(2026,10,1),Kamis!$A$7:$A$186,"&lt;="&amp;DATE(2026,10,31))+SUMIFS(Jumat!$H$7:$H$186,Jumat!$C$7:$C$186,$B23,Jumat!$A$7:$A$186,"&gt;="&amp;DATE(2026,10,1),Jumat!$A$7:$A$186,"&lt;="&amp;DATE(2026,10,31))</f>
        <v>0</v>
      </c>
      <c r="I23" s="45">
        <f>SUMIFS(Senin!$H$7:$H$146,Senin!$C$7:$C$146,$B23,Senin!$A$7:$A$146,"&gt;="&amp;DATE(2026,11,1),Senin!$A$7:$A$146,"&lt;="&amp;DATE(2026,11,30))+SUMIFS(Selasa!$H$7:$H$166,Selasa!$C$7:$C$166,$B23,Selasa!$A$7:$A$166,"&gt;="&amp;DATE(2026,11,1),Selasa!$A$7:$A$166,"&lt;="&amp;DATE(2026,11,30))+SUMIFS(Rabu!$H$7:$H$206,Rabu!$C$7:$C$206,$B23,Rabu!$A$7:$A$206,"&gt;="&amp;DATE(2026,11,1),Rabu!$A$7:$A$206,"&lt;="&amp;DATE(2026,11,30))+SUMIFS(Kamis!$H$7:$H$186,Kamis!$C$7:$C$186,$B23,Kamis!$A$7:$A$186,"&gt;="&amp;DATE(2026,11,1),Kamis!$A$7:$A$186,"&lt;="&amp;DATE(2026,11,30))+SUMIFS(Jumat!$H$7:$H$186,Jumat!$C$7:$C$186,$B23,Jumat!$A$7:$A$186,"&gt;="&amp;DATE(2026,11,1),Jumat!$A$7:$A$186,"&lt;="&amp;DATE(2026,11,30))</f>
        <v>0</v>
      </c>
      <c r="J23" s="45">
        <f>SUMIFS(Senin!$H$7:$H$146,Senin!$C$7:$C$146,$B23,Senin!$A$7:$A$146,"&gt;="&amp;DATE(2026,12,1),Senin!$A$7:$A$146,"&lt;="&amp;DATE(2026,12,31))+SUMIFS(Selasa!$H$7:$H$166,Selasa!$C$7:$C$166,$B23,Selasa!$A$7:$A$166,"&gt;="&amp;DATE(2026,12,1),Selasa!$A$7:$A$166,"&lt;="&amp;DATE(2026,12,31))+SUMIFS(Rabu!$H$7:$H$206,Rabu!$C$7:$C$206,$B23,Rabu!$A$7:$A$206,"&gt;="&amp;DATE(2026,12,1),Rabu!$A$7:$A$206,"&lt;="&amp;DATE(2026,12,31))+SUMIFS(Kamis!$H$7:$H$186,Kamis!$C$7:$C$186,$B23,Kamis!$A$7:$A$186,"&gt;="&amp;DATE(2026,12,1),Kamis!$A$7:$A$186,"&lt;="&amp;DATE(2026,12,31))+SUMIFS(Jumat!$H$7:$H$186,Jumat!$C$7:$C$186,$B23,Jumat!$A$7:$A$186,"&gt;="&amp;DATE(2026,12,1),Jumat!$A$7:$A$186,"&lt;="&amp;DATE(2026,12,31))</f>
        <v>0</v>
      </c>
      <c r="K23" s="45">
        <f>SUMIFS(Senin!$H$7:$H$146,Senin!$C$7:$C$146,$B23,Senin!$A$7:$A$146,"&gt;="&amp;DATE(2026,8,31),Senin!$A$7:$A$146,"&lt;="&amp;DATE(2026,9,6))+SUMIFS(Selasa!$H$7:$H$166,Selasa!$C$7:$C$166,$B23,Selasa!$A$7:$A$166,"&gt;="&amp;DATE(2026,8,31),Selasa!$A$7:$A$166,"&lt;="&amp;DATE(2026,9,6))+SUMIFS(Rabu!$H$7:$H$206,Rabu!$C$7:$C$206,$B23,Rabu!$A$7:$A$206,"&gt;="&amp;DATE(2026,8,31),Rabu!$A$7:$A$206,"&lt;="&amp;DATE(2026,9,6))+SUMIFS(Kamis!$H$7:$H$186,Kamis!$C$7:$C$186,$B23,Kamis!$A$7:$A$186,"&gt;="&amp;DATE(2026,8,31),Kamis!$A$7:$A$186,"&lt;="&amp;DATE(2026,9,6))+SUMIFS(Jumat!$H$7:$H$186,Jumat!$C$7:$C$186,$B23,Jumat!$A$7:$A$186,"&gt;="&amp;DATE(2026,8,31),Jumat!$A$7:$A$186,"&lt;="&amp;DATE(2026,9,6))</f>
        <v>0</v>
      </c>
      <c r="L23" s="45">
        <f>SUMIFS(Senin!$H$7:$H$146,Senin!$C$7:$C$146,$B23,Senin!$A$7:$A$146,"&gt;="&amp;DATE(2026,9,7),Senin!$A$7:$A$146,"&lt;="&amp;DATE(2026,9,13))+SUMIFS(Selasa!$H$7:$H$166,Selasa!$C$7:$C$166,$B23,Selasa!$A$7:$A$166,"&gt;="&amp;DATE(2026,9,7),Selasa!$A$7:$A$166,"&lt;="&amp;DATE(2026,9,13))+SUMIFS(Rabu!$H$7:$H$206,Rabu!$C$7:$C$206,$B23,Rabu!$A$7:$A$206,"&gt;="&amp;DATE(2026,9,7),Rabu!$A$7:$A$206,"&lt;="&amp;DATE(2026,9,13))+SUMIFS(Kamis!$H$7:$H$186,Kamis!$C$7:$C$186,$B23,Kamis!$A$7:$A$186,"&gt;="&amp;DATE(2026,9,7),Kamis!$A$7:$A$186,"&lt;="&amp;DATE(2026,9,13))+SUMIFS(Jumat!$H$7:$H$186,Jumat!$C$7:$C$186,$B23,Jumat!$A$7:$A$186,"&gt;="&amp;DATE(2026,9,7),Jumat!$A$7:$A$186,"&lt;="&amp;DATE(2026,9,13))</f>
        <v>0</v>
      </c>
      <c r="M23" s="45">
        <f>SUMIFS(Senin!$H$7:$H$146,Senin!$C$7:$C$146,$B23,Senin!$A$7:$A$146,"&gt;="&amp;DATE(2026,9,14),Senin!$A$7:$A$146,"&lt;="&amp;DATE(2026,9,20))+SUMIFS(Selasa!$H$7:$H$166,Selasa!$C$7:$C$166,$B23,Selasa!$A$7:$A$166,"&gt;="&amp;DATE(2026,9,14),Selasa!$A$7:$A$166,"&lt;="&amp;DATE(2026,9,20))+SUMIFS(Rabu!$H$7:$H$206,Rabu!$C$7:$C$206,$B23,Rabu!$A$7:$A$206,"&gt;="&amp;DATE(2026,9,14),Rabu!$A$7:$A$206,"&lt;="&amp;DATE(2026,9,20))+SUMIFS(Kamis!$H$7:$H$186,Kamis!$C$7:$C$186,$B23,Kamis!$A$7:$A$186,"&gt;="&amp;DATE(2026,9,14),Kamis!$A$7:$A$186,"&lt;="&amp;DATE(2026,9,20))+SUMIFS(Jumat!$H$7:$H$186,Jumat!$C$7:$C$186,$B23,Jumat!$A$7:$A$186,"&gt;="&amp;DATE(2026,9,14),Jumat!$A$7:$A$186,"&lt;="&amp;DATE(2026,9,20))</f>
        <v>0</v>
      </c>
      <c r="N23" s="45">
        <f>SUMIFS(Senin!$H$7:$H$146,Senin!$C$7:$C$146,$B23,Senin!$A$7:$A$146,"&gt;="&amp;DATE(2026,9,21),Senin!$A$7:$A$146,"&lt;="&amp;DATE(2026,9,27))+SUMIFS(Selasa!$H$7:$H$166,Selasa!$C$7:$C$166,$B23,Selasa!$A$7:$A$166,"&gt;="&amp;DATE(2026,9,21),Selasa!$A$7:$A$166,"&lt;="&amp;DATE(2026,9,27))+SUMIFS(Rabu!$H$7:$H$206,Rabu!$C$7:$C$206,$B23,Rabu!$A$7:$A$206,"&gt;="&amp;DATE(2026,9,21),Rabu!$A$7:$A$206,"&lt;="&amp;DATE(2026,9,27))+SUMIFS(Kamis!$H$7:$H$186,Kamis!$C$7:$C$186,$B23,Kamis!$A$7:$A$186,"&gt;="&amp;DATE(2026,9,21),Kamis!$A$7:$A$186,"&lt;="&amp;DATE(2026,9,27))+SUMIFS(Jumat!$H$7:$H$186,Jumat!$C$7:$C$186,$B23,Jumat!$A$7:$A$186,"&gt;="&amp;DATE(2026,9,21),Jumat!$A$7:$A$186,"&lt;="&amp;DATE(2026,9,27))</f>
        <v>0</v>
      </c>
      <c r="O23" s="45">
        <f>SUMIFS(Senin!$H$7:$H$146,Senin!$C$7:$C$146,$B23,Senin!$A$7:$A$146,"&gt;="&amp;DATE(2026,9,28),Senin!$A$7:$A$146,"&lt;="&amp;DATE(2026,10,4))+SUMIFS(Selasa!$H$7:$H$166,Selasa!$C$7:$C$166,$B23,Selasa!$A$7:$A$166,"&gt;="&amp;DATE(2026,9,28),Selasa!$A$7:$A$166,"&lt;="&amp;DATE(2026,10,4))+SUMIFS(Rabu!$H$7:$H$206,Rabu!$C$7:$C$206,$B23,Rabu!$A$7:$A$206,"&gt;="&amp;DATE(2026,9,28),Rabu!$A$7:$A$206,"&lt;="&amp;DATE(2026,10,4))+SUMIFS(Kamis!$H$7:$H$186,Kamis!$C$7:$C$186,$B23,Kamis!$A$7:$A$186,"&gt;="&amp;DATE(2026,9,28),Kamis!$A$7:$A$186,"&lt;="&amp;DATE(2026,10,4))+SUMIFS(Jumat!$H$7:$H$186,Jumat!$C$7:$C$186,$B23,Jumat!$A$7:$A$186,"&gt;="&amp;DATE(2026,9,28),Jumat!$A$7:$A$186,"&lt;="&amp;DATE(2026,10,4))</f>
        <v>0</v>
      </c>
      <c r="P23" s="45">
        <f>SUMIFS(Senin!$H$7:$H$146,Senin!$C$7:$C$146,$B23,Senin!$A$7:$A$146,"&gt;="&amp;DATE(2026,10,5),Senin!$A$7:$A$146,"&lt;="&amp;DATE(2026,10,11))+SUMIFS(Selasa!$H$7:$H$166,Selasa!$C$7:$C$166,$B23,Selasa!$A$7:$A$166,"&gt;="&amp;DATE(2026,10,5),Selasa!$A$7:$A$166,"&lt;="&amp;DATE(2026,10,11))+SUMIFS(Rabu!$H$7:$H$206,Rabu!$C$7:$C$206,$B23,Rabu!$A$7:$A$206,"&gt;="&amp;DATE(2026,10,5),Rabu!$A$7:$A$206,"&lt;="&amp;DATE(2026,10,11))+SUMIFS(Kamis!$H$7:$H$186,Kamis!$C$7:$C$186,$B23,Kamis!$A$7:$A$186,"&gt;="&amp;DATE(2026,10,5),Kamis!$A$7:$A$186,"&lt;="&amp;DATE(2026,10,11))+SUMIFS(Jumat!$H$7:$H$186,Jumat!$C$7:$C$186,$B23,Jumat!$A$7:$A$186,"&gt;="&amp;DATE(2026,10,5),Jumat!$A$7:$A$186,"&lt;="&amp;DATE(2026,10,11))</f>
        <v>0</v>
      </c>
      <c r="Q23" s="45">
        <f>SUMIFS(Senin!$H$7:$H$146,Senin!$C$7:$C$146,$B23,Senin!$A$7:$A$146,"&gt;="&amp;DATE(2026,10,12),Senin!$A$7:$A$146,"&lt;="&amp;DATE(2026,10,18))+SUMIFS(Selasa!$H$7:$H$166,Selasa!$C$7:$C$166,$B23,Selasa!$A$7:$A$166,"&gt;="&amp;DATE(2026,10,12),Selasa!$A$7:$A$166,"&lt;="&amp;DATE(2026,10,18))+SUMIFS(Rabu!$H$7:$H$206,Rabu!$C$7:$C$206,$B23,Rabu!$A$7:$A$206,"&gt;="&amp;DATE(2026,10,12),Rabu!$A$7:$A$206,"&lt;="&amp;DATE(2026,10,18))+SUMIFS(Kamis!$H$7:$H$186,Kamis!$C$7:$C$186,$B23,Kamis!$A$7:$A$186,"&gt;="&amp;DATE(2026,10,12),Kamis!$A$7:$A$186,"&lt;="&amp;DATE(2026,10,18))+SUMIFS(Jumat!$H$7:$H$186,Jumat!$C$7:$C$186,$B23,Jumat!$A$7:$A$186,"&gt;="&amp;DATE(2026,10,12),Jumat!$A$7:$A$186,"&lt;="&amp;DATE(2026,10,18))</f>
        <v>0</v>
      </c>
      <c r="R23" s="45">
        <f>SUMIFS(Senin!$H$7:$H$146,Senin!$C$7:$C$146,$B23,Senin!$A$7:$A$146,"&gt;="&amp;DATE(2026,10,19),Senin!$A$7:$A$146,"&lt;="&amp;DATE(2026,10,25))+SUMIFS(Selasa!$H$7:$H$166,Selasa!$C$7:$C$166,$B23,Selasa!$A$7:$A$166,"&gt;="&amp;DATE(2026,10,19),Selasa!$A$7:$A$166,"&lt;="&amp;DATE(2026,10,25))+SUMIFS(Rabu!$H$7:$H$206,Rabu!$C$7:$C$206,$B23,Rabu!$A$7:$A$206,"&gt;="&amp;DATE(2026,10,19),Rabu!$A$7:$A$206,"&lt;="&amp;DATE(2026,10,25))+SUMIFS(Kamis!$H$7:$H$186,Kamis!$C$7:$C$186,$B23,Kamis!$A$7:$A$186,"&gt;="&amp;DATE(2026,10,19),Kamis!$A$7:$A$186,"&lt;="&amp;DATE(2026,10,25))+SUMIFS(Jumat!$H$7:$H$186,Jumat!$C$7:$C$186,$B23,Jumat!$A$7:$A$186,"&gt;="&amp;DATE(2026,10,19),Jumat!$A$7:$A$186,"&lt;="&amp;DATE(2026,10,25))</f>
        <v>0</v>
      </c>
      <c r="S23" s="45">
        <f>SUMIFS(Senin!$H$7:$H$146,Senin!$C$7:$C$146,$B23,Senin!$A$7:$A$146,"&gt;="&amp;DATE(2026,10,26),Senin!$A$7:$A$146,"&lt;="&amp;DATE(2026,11,1))+SUMIFS(Selasa!$H$7:$H$166,Selasa!$C$7:$C$166,$B23,Selasa!$A$7:$A$166,"&gt;="&amp;DATE(2026,10,26),Selasa!$A$7:$A$166,"&lt;="&amp;DATE(2026,11,1))+SUMIFS(Rabu!$H$7:$H$206,Rabu!$C$7:$C$206,$B23,Rabu!$A$7:$A$206,"&gt;="&amp;DATE(2026,10,26),Rabu!$A$7:$A$206,"&lt;="&amp;DATE(2026,11,1))+SUMIFS(Kamis!$H$7:$H$186,Kamis!$C$7:$C$186,$B23,Kamis!$A$7:$A$186,"&gt;="&amp;DATE(2026,10,26),Kamis!$A$7:$A$186,"&lt;="&amp;DATE(2026,11,1))+SUMIFS(Jumat!$H$7:$H$186,Jumat!$C$7:$C$186,$B23,Jumat!$A$7:$A$186,"&gt;="&amp;DATE(2026,10,26),Jumat!$A$7:$A$186,"&lt;="&amp;DATE(2026,11,1))</f>
        <v>0</v>
      </c>
      <c r="T23" s="45">
        <f>SUMIFS(Senin!$H$7:$H$146,Senin!$C$7:$C$146,$B23,Senin!$A$7:$A$146,"&gt;="&amp;DATE(2026,11,2),Senin!$A$7:$A$146,"&lt;="&amp;DATE(2026,11,8))+SUMIFS(Selasa!$H$7:$H$166,Selasa!$C$7:$C$166,$B23,Selasa!$A$7:$A$166,"&gt;="&amp;DATE(2026,11,2),Selasa!$A$7:$A$166,"&lt;="&amp;DATE(2026,11,8))+SUMIFS(Rabu!$H$7:$H$206,Rabu!$C$7:$C$206,$B23,Rabu!$A$7:$A$206,"&gt;="&amp;DATE(2026,11,2),Rabu!$A$7:$A$206,"&lt;="&amp;DATE(2026,11,8))+SUMIFS(Kamis!$H$7:$H$186,Kamis!$C$7:$C$186,$B23,Kamis!$A$7:$A$186,"&gt;="&amp;DATE(2026,11,2),Kamis!$A$7:$A$186,"&lt;="&amp;DATE(2026,11,8))+SUMIFS(Jumat!$H$7:$H$186,Jumat!$C$7:$C$186,$B23,Jumat!$A$7:$A$186,"&gt;="&amp;DATE(2026,11,2),Jumat!$A$7:$A$186,"&lt;="&amp;DATE(2026,11,8))</f>
        <v>0</v>
      </c>
      <c r="U23" s="45">
        <f>SUMIFS(Senin!$H$7:$H$146,Senin!$C$7:$C$146,$B23,Senin!$A$7:$A$146,"&gt;="&amp;DATE(2026,11,9),Senin!$A$7:$A$146,"&lt;="&amp;DATE(2026,11,15))+SUMIFS(Selasa!$H$7:$H$166,Selasa!$C$7:$C$166,$B23,Selasa!$A$7:$A$166,"&gt;="&amp;DATE(2026,11,9),Selasa!$A$7:$A$166,"&lt;="&amp;DATE(2026,11,15))+SUMIFS(Rabu!$H$7:$H$206,Rabu!$C$7:$C$206,$B23,Rabu!$A$7:$A$206,"&gt;="&amp;DATE(2026,11,9),Rabu!$A$7:$A$206,"&lt;="&amp;DATE(2026,11,15))+SUMIFS(Kamis!$H$7:$H$186,Kamis!$C$7:$C$186,$B23,Kamis!$A$7:$A$186,"&gt;="&amp;DATE(2026,11,9),Kamis!$A$7:$A$186,"&lt;="&amp;DATE(2026,11,15))+SUMIFS(Jumat!$H$7:$H$186,Jumat!$C$7:$C$186,$B23,Jumat!$A$7:$A$186,"&gt;="&amp;DATE(2026,11,9),Jumat!$A$7:$A$186,"&lt;="&amp;DATE(2026,11,15))</f>
        <v>0</v>
      </c>
      <c r="V23" s="45">
        <f>SUMIFS(Senin!$H$7:$H$146,Senin!$C$7:$C$146,$B23,Senin!$A$7:$A$146,"&gt;="&amp;DATE(2026,11,16),Senin!$A$7:$A$146,"&lt;="&amp;DATE(2026,11,22))+SUMIFS(Selasa!$H$7:$H$166,Selasa!$C$7:$C$166,$B23,Selasa!$A$7:$A$166,"&gt;="&amp;DATE(2026,11,16),Selasa!$A$7:$A$166,"&lt;="&amp;DATE(2026,11,22))+SUMIFS(Rabu!$H$7:$H$206,Rabu!$C$7:$C$206,$B23,Rabu!$A$7:$A$206,"&gt;="&amp;DATE(2026,11,16),Rabu!$A$7:$A$206,"&lt;="&amp;DATE(2026,11,22))+SUMIFS(Kamis!$H$7:$H$186,Kamis!$C$7:$C$186,$B23,Kamis!$A$7:$A$186,"&gt;="&amp;DATE(2026,11,16),Kamis!$A$7:$A$186,"&lt;="&amp;DATE(2026,11,22))+SUMIFS(Jumat!$H$7:$H$186,Jumat!$C$7:$C$186,$B23,Jumat!$A$7:$A$186,"&gt;="&amp;DATE(2026,11,16),Jumat!$A$7:$A$186,"&lt;="&amp;DATE(2026,11,22))</f>
        <v>0</v>
      </c>
      <c r="W23" s="45">
        <f>SUMIFS(Senin!$H$7:$H$146,Senin!$C$7:$C$146,$B23,Senin!$A$7:$A$146,"&gt;="&amp;DATE(2026,11,23),Senin!$A$7:$A$146,"&lt;="&amp;DATE(2026,11,29))+SUMIFS(Selasa!$H$7:$H$166,Selasa!$C$7:$C$166,$B23,Selasa!$A$7:$A$166,"&gt;="&amp;DATE(2026,11,23),Selasa!$A$7:$A$166,"&lt;="&amp;DATE(2026,11,29))+SUMIFS(Rabu!$H$7:$H$206,Rabu!$C$7:$C$206,$B23,Rabu!$A$7:$A$206,"&gt;="&amp;DATE(2026,11,23),Rabu!$A$7:$A$206,"&lt;="&amp;DATE(2026,11,29))+SUMIFS(Kamis!$H$7:$H$186,Kamis!$C$7:$C$186,$B23,Kamis!$A$7:$A$186,"&gt;="&amp;DATE(2026,11,23),Kamis!$A$7:$A$186,"&lt;="&amp;DATE(2026,11,29))+SUMIFS(Jumat!$H$7:$H$186,Jumat!$C$7:$C$186,$B23,Jumat!$A$7:$A$186,"&gt;="&amp;DATE(2026,11,23),Jumat!$A$7:$A$186,"&lt;="&amp;DATE(2026,11,29))</f>
        <v>0</v>
      </c>
      <c r="X23" s="45">
        <f>SUMIFS(Senin!$H$7:$H$146,Senin!$C$7:$C$146,$B23,Senin!$A$7:$A$146,"&gt;="&amp;DATE(2026,11,30),Senin!$A$7:$A$146,"&lt;="&amp;DATE(2026,12,6))+SUMIFS(Selasa!$H$7:$H$166,Selasa!$C$7:$C$166,$B23,Selasa!$A$7:$A$166,"&gt;="&amp;DATE(2026,11,30),Selasa!$A$7:$A$166,"&lt;="&amp;DATE(2026,12,6))+SUMIFS(Rabu!$H$7:$H$206,Rabu!$C$7:$C$206,$B23,Rabu!$A$7:$A$206,"&gt;="&amp;DATE(2026,11,30),Rabu!$A$7:$A$206,"&lt;="&amp;DATE(2026,12,6))+SUMIFS(Kamis!$H$7:$H$186,Kamis!$C$7:$C$186,$B23,Kamis!$A$7:$A$186,"&gt;="&amp;DATE(2026,11,30),Kamis!$A$7:$A$186,"&lt;="&amp;DATE(2026,12,6))+SUMIFS(Jumat!$H$7:$H$186,Jumat!$C$7:$C$186,$B23,Jumat!$A$7:$A$186,"&gt;="&amp;DATE(2026,11,30),Jumat!$A$7:$A$186,"&lt;="&amp;DATE(2026,12,6))</f>
        <v>0</v>
      </c>
      <c r="Y23" s="45">
        <f>SUMIFS(Senin!$H$7:$H$146,Senin!$C$7:$C$146,$B23,Senin!$A$7:$A$146,"&gt;="&amp;DATE(2026,12,7),Senin!$A$7:$A$146,"&lt;="&amp;DATE(2026,12,13))+SUMIFS(Selasa!$H$7:$H$166,Selasa!$C$7:$C$166,$B23,Selasa!$A$7:$A$166,"&gt;="&amp;DATE(2026,12,7),Selasa!$A$7:$A$166,"&lt;="&amp;DATE(2026,12,13))+SUMIFS(Rabu!$H$7:$H$206,Rabu!$C$7:$C$206,$B23,Rabu!$A$7:$A$206,"&gt;="&amp;DATE(2026,12,7),Rabu!$A$7:$A$206,"&lt;="&amp;DATE(2026,12,13))+SUMIFS(Kamis!$H$7:$H$186,Kamis!$C$7:$C$186,$B23,Kamis!$A$7:$A$186,"&gt;="&amp;DATE(2026,12,7),Kamis!$A$7:$A$186,"&lt;="&amp;DATE(2026,12,13))+SUMIFS(Jumat!$H$7:$H$186,Jumat!$C$7:$C$186,$B23,Jumat!$A$7:$A$186,"&gt;="&amp;DATE(2026,12,7),Jumat!$A$7:$A$186,"&lt;="&amp;DATE(2026,12,13))</f>
        <v>0</v>
      </c>
      <c r="Z23" s="45">
        <f>SUMIFS(Senin!$H$7:$H$146,Senin!$C$7:$C$146,$B23,Senin!$A$7:$A$146,"&gt;="&amp;DATE(2026,12,14),Senin!$A$7:$A$146,"&lt;="&amp;DATE(2026,12,20))+SUMIFS(Selasa!$H$7:$H$166,Selasa!$C$7:$C$166,$B23,Selasa!$A$7:$A$166,"&gt;="&amp;DATE(2026,12,14),Selasa!$A$7:$A$166,"&lt;="&amp;DATE(2026,12,20))+SUMIFS(Rabu!$H$7:$H$206,Rabu!$C$7:$C$206,$B23,Rabu!$A$7:$A$206,"&gt;="&amp;DATE(2026,12,14),Rabu!$A$7:$A$206,"&lt;="&amp;DATE(2026,12,20))+SUMIFS(Kamis!$H$7:$H$186,Kamis!$C$7:$C$186,$B23,Kamis!$A$7:$A$186,"&gt;="&amp;DATE(2026,12,14),Kamis!$A$7:$A$186,"&lt;="&amp;DATE(2026,12,20))+SUMIFS(Jumat!$H$7:$H$186,Jumat!$C$7:$C$186,$B23,Jumat!$A$7:$A$186,"&gt;="&amp;DATE(2026,12,14),Jumat!$A$7:$A$186,"&lt;="&amp;DATE(2026,12,20))</f>
        <v>0</v>
      </c>
      <c r="AA23" s="45">
        <f>SUMIFS(Senin!$H$7:$H$146,Senin!$C$7:$C$146,$B23,Senin!$A$7:$A$146,"&gt;="&amp;DATE(2026,12,21),Senin!$A$7:$A$146,"&lt;="&amp;DATE(2026,12,27))+SUMIFS(Selasa!$H$7:$H$166,Selasa!$C$7:$C$166,$B23,Selasa!$A$7:$A$166,"&gt;="&amp;DATE(2026,12,21),Selasa!$A$7:$A$166,"&lt;="&amp;DATE(2026,12,27))+SUMIFS(Rabu!$H$7:$H$206,Rabu!$C$7:$C$206,$B23,Rabu!$A$7:$A$206,"&gt;="&amp;DATE(2026,12,21),Rabu!$A$7:$A$206,"&lt;="&amp;DATE(2026,12,27))+SUMIFS(Kamis!$H$7:$H$186,Kamis!$C$7:$C$186,$B23,Kamis!$A$7:$A$186,"&gt;="&amp;DATE(2026,12,21),Kamis!$A$7:$A$186,"&lt;="&amp;DATE(2026,12,27))+SUMIFS(Jumat!$H$7:$H$186,Jumat!$C$7:$C$186,$B23,Jumat!$A$7:$A$186,"&gt;="&amp;DATE(2026,12,21),Jumat!$A$7:$A$186,"&lt;="&amp;DATE(2026,12,27))</f>
        <v>0</v>
      </c>
      <c r="AB23" s="45">
        <f>SUMIFS(Senin!$H$7:$H$146,Senin!$C$7:$C$146,$B23,Senin!$A$7:$A$146,"&gt;="&amp;DATE(2026,12,28),Senin!$A$7:$A$146,"&lt;="&amp;DATE(2027,1,3))+SUMIFS(Selasa!$H$7:$H$166,Selasa!$C$7:$C$166,$B23,Selasa!$A$7:$A$166,"&gt;="&amp;DATE(2026,12,28),Selasa!$A$7:$A$166,"&lt;="&amp;DATE(2027,1,3))+SUMIFS(Rabu!$H$7:$H$206,Rabu!$C$7:$C$206,$B23,Rabu!$A$7:$A$206,"&gt;="&amp;DATE(2026,12,28),Rabu!$A$7:$A$206,"&lt;="&amp;DATE(2027,1,3))+SUMIFS(Kamis!$H$7:$H$186,Kamis!$C$7:$C$186,$B23,Kamis!$A$7:$A$186,"&gt;="&amp;DATE(2026,12,28),Kamis!$A$7:$A$186,"&lt;="&amp;DATE(2027,1,3))+SUMIFS(Jumat!$H$7:$H$186,Jumat!$C$7:$C$186,$B23,Jumat!$A$7:$A$186,"&gt;="&amp;DATE(2026,12,28),Jumat!$A$7:$A$186,"&lt;="&amp;DATE(2027,1,3))</f>
        <v>0</v>
      </c>
      <c r="AC23" s="45">
        <f>SUMIFS(Senin!$H$7:$H$146,Senin!$C$7:$C$146,$B23,Senin!$A$7:$A$146,"&gt;="&amp;DATE(2027,1,4),Senin!$A$7:$A$146,"&lt;="&amp;DATE(2027,1,10))+SUMIFS(Selasa!$H$7:$H$166,Selasa!$C$7:$C$166,$B23,Selasa!$A$7:$A$166,"&gt;="&amp;DATE(2027,1,4),Selasa!$A$7:$A$166,"&lt;="&amp;DATE(2027,1,10))+SUMIFS(Rabu!$H$7:$H$206,Rabu!$C$7:$C$206,$B23,Rabu!$A$7:$A$206,"&gt;="&amp;DATE(2027,1,4),Rabu!$A$7:$A$206,"&lt;="&amp;DATE(2027,1,10))+SUMIFS(Kamis!$H$7:$H$186,Kamis!$C$7:$C$186,$B23,Kamis!$A$7:$A$186,"&gt;="&amp;DATE(2027,1,4),Kamis!$A$7:$A$186,"&lt;="&amp;DATE(2027,1,10))+SUMIFS(Jumat!$H$7:$H$186,Jumat!$C$7:$C$186,$B23,Jumat!$A$7:$A$186,"&gt;="&amp;DATE(2027,1,4),Jumat!$A$7:$A$186,"&lt;="&amp;DATE(2027,1,10))</f>
        <v>0</v>
      </c>
      <c r="AD23" s="45">
        <f>SUMIFS(Senin!$H$7:$H$146,Senin!$C$7:$C$146,$B23,Senin!$A$7:$A$146,"&gt;="&amp;DATE(2027,1,11),Senin!$A$7:$A$146,"&lt;="&amp;DATE(2027,1,17))+SUMIFS(Selasa!$H$7:$H$166,Selasa!$C$7:$C$166,$B23,Selasa!$A$7:$A$166,"&gt;="&amp;DATE(2027,1,11),Selasa!$A$7:$A$166,"&lt;="&amp;DATE(2027,1,17))+SUMIFS(Rabu!$H$7:$H$206,Rabu!$C$7:$C$206,$B23,Rabu!$A$7:$A$206,"&gt;="&amp;DATE(2027,1,11),Rabu!$A$7:$A$206,"&lt;="&amp;DATE(2027,1,17))+SUMIFS(Kamis!$H$7:$H$186,Kamis!$C$7:$C$186,$B23,Kamis!$A$7:$A$186,"&gt;="&amp;DATE(2027,1,11),Kamis!$A$7:$A$186,"&lt;="&amp;DATE(2027,1,17))+SUMIFS(Jumat!$H$7:$H$186,Jumat!$C$7:$C$186,$B23,Jumat!$A$7:$A$186,"&gt;="&amp;DATE(2027,1,11),Jumat!$A$7:$A$186,"&lt;="&amp;DATE(2027,1,17))</f>
        <v>0</v>
      </c>
    </row>
    <row r="24" ht="15.75" customHeight="1">
      <c r="A24" s="27">
        <v>21.0</v>
      </c>
      <c r="B24" s="61" t="s">
        <v>17</v>
      </c>
      <c r="C24" s="41">
        <f>COUNTIFS(Senin!$C$7:$C$146,$B24,Senin!$G$7:$G$146,"Ya",Senin!$E$7:$E$146,"&lt;&gt;")+COUNTIFS(Selasa!$C$7:$C$166,$B24,Selasa!$G$7:$G$166,"Ya",Selasa!$E$7:$E$166,"&lt;&gt;")+COUNTIFS(Rabu!$C$7:$C$206,$B24,Rabu!$G$7:$G$206,"Ya",Rabu!$E$7:$E$206,"&lt;&gt;")+COUNTIFS(Kamis!$C$7:$C$186,$B24,Kamis!$G$7:$G$186,"Ya",Kamis!$E$7:$E$186,"&lt;&gt;")+COUNTIFS(Jumat!$C$7:$C$186,$B24,Jumat!$G$7:$G$186,"Ya",Jumat!$E$7:$E$186,"&lt;&gt;")</f>
        <v>0</v>
      </c>
      <c r="D24" s="41">
        <f>COUNTIFS(Senin!$C$7:$C$146,$B24,Senin!$G$7:$G$146,"Ya",Senin!$E$7:$E$146,"")+COUNTIFS(Selasa!$C$7:$C$166,$B24,Selasa!$G$7:$G$166,"Ya",Selasa!$E$7:$E$166,"")+COUNTIFS(Rabu!$C$7:$C$206,$B24,Rabu!$G$7:$G$206,"Ya",Rabu!$E$7:$E$206,"")+COUNTIFS(Kamis!$C$7:$C$186,$B24,Kamis!$G$7:$G$186,"Ya",Kamis!$E$7:$E$186,"")+COUNTIFS(Jumat!$C$7:$C$186,$B24,Jumat!$G$7:$G$186,"Ya",Jumat!$E$7:$E$186,"")</f>
        <v>0</v>
      </c>
      <c r="E24" s="45">
        <f>SUMIFS(Senin!$H$7:$H$146,Senin!$C$7:$C$146,$B24,Senin!$A$7:$A$146,"&gt;="&amp;DATE(2026,8,1),Senin!$A$7:$A$146,"&lt;="&amp;DATE(2026,12,31))+SUMIFS(Selasa!$H$7:$H$166,Selasa!$C$7:$C$166,$B24,Selasa!$A$7:$A$166,"&gt;="&amp;DATE(2026,8,1),Selasa!$A$7:$A$166,"&lt;="&amp;DATE(2026,12,31))+SUMIFS(Rabu!$H$7:$H$206,Rabu!$C$7:$C$206,$B24,Rabu!$A$7:$A$206,"&gt;="&amp;DATE(2026,8,1),Rabu!$A$7:$A$206,"&lt;="&amp;DATE(2026,12,31))+SUMIFS(Kamis!$H$7:$H$186,Kamis!$C$7:$C$186,$B24,Kamis!$A$7:$A$186,"&gt;="&amp;DATE(2026,8,1),Kamis!$A$7:$A$186,"&lt;="&amp;DATE(2026,12,31))+SUMIFS(Jumat!$H$7:$H$186,Jumat!$C$7:$C$186,$B24,Jumat!$A$7:$A$186,"&gt;="&amp;DATE(2026,8,1),Jumat!$A$7:$A$186,"&lt;="&amp;DATE(2026,12,31))</f>
        <v>0</v>
      </c>
      <c r="F24" s="45">
        <f>SUMIFS(Senin!$H$7:$H$146,Senin!$C$7:$C$146,$B24,Senin!$A$7:$A$146,"&gt;="&amp;DATE(2026,8,1),Senin!$A$7:$A$146,"&lt;="&amp;DATE(2026,8,31))+SUMIFS(Selasa!$H$7:$H$166,Selasa!$C$7:$C$166,$B24,Selasa!$A$7:$A$166,"&gt;="&amp;DATE(2026,8,1),Selasa!$A$7:$A$166,"&lt;="&amp;DATE(2026,8,31))+SUMIFS(Rabu!$H$7:$H$206,Rabu!$C$7:$C$206,$B24,Rabu!$A$7:$A$206,"&gt;="&amp;DATE(2026,8,1),Rabu!$A$7:$A$206,"&lt;="&amp;DATE(2026,8,31))+SUMIFS(Kamis!$H$7:$H$186,Kamis!$C$7:$C$186,$B24,Kamis!$A$7:$A$186,"&gt;="&amp;DATE(2026,8,1),Kamis!$A$7:$A$186,"&lt;="&amp;DATE(2026,8,31))+SUMIFS(Jumat!$H$7:$H$186,Jumat!$C$7:$C$186,$B24,Jumat!$A$7:$A$186,"&gt;="&amp;DATE(2026,8,1),Jumat!$A$7:$A$186,"&lt;="&amp;DATE(2026,8,31))</f>
        <v>0</v>
      </c>
      <c r="G24" s="45">
        <f>SUMIFS(Senin!$H$7:$H$146,Senin!$C$7:$C$146,$B24,Senin!$A$7:$A$146,"&gt;="&amp;DATE(2026,9,1),Senin!$A$7:$A$146,"&lt;="&amp;DATE(2026,9,30))+SUMIFS(Selasa!$H$7:$H$166,Selasa!$C$7:$C$166,$B24,Selasa!$A$7:$A$166,"&gt;="&amp;DATE(2026,9,1),Selasa!$A$7:$A$166,"&lt;="&amp;DATE(2026,9,30))+SUMIFS(Rabu!$H$7:$H$206,Rabu!$C$7:$C$206,$B24,Rabu!$A$7:$A$206,"&gt;="&amp;DATE(2026,9,1),Rabu!$A$7:$A$206,"&lt;="&amp;DATE(2026,9,30))+SUMIFS(Kamis!$H$7:$H$186,Kamis!$C$7:$C$186,$B24,Kamis!$A$7:$A$186,"&gt;="&amp;DATE(2026,9,1),Kamis!$A$7:$A$186,"&lt;="&amp;DATE(2026,9,30))+SUMIFS(Jumat!$H$7:$H$186,Jumat!$C$7:$C$186,$B24,Jumat!$A$7:$A$186,"&gt;="&amp;DATE(2026,9,1),Jumat!$A$7:$A$186,"&lt;="&amp;DATE(2026,9,30))</f>
        <v>0</v>
      </c>
      <c r="H24" s="45">
        <f>SUMIFS(Senin!$H$7:$H$146,Senin!$C$7:$C$146,$B24,Senin!$A$7:$A$146,"&gt;="&amp;DATE(2026,10,1),Senin!$A$7:$A$146,"&lt;="&amp;DATE(2026,10,31))+SUMIFS(Selasa!$H$7:$H$166,Selasa!$C$7:$C$166,$B24,Selasa!$A$7:$A$166,"&gt;="&amp;DATE(2026,10,1),Selasa!$A$7:$A$166,"&lt;="&amp;DATE(2026,10,31))+SUMIFS(Rabu!$H$7:$H$206,Rabu!$C$7:$C$206,$B24,Rabu!$A$7:$A$206,"&gt;="&amp;DATE(2026,10,1),Rabu!$A$7:$A$206,"&lt;="&amp;DATE(2026,10,31))+SUMIFS(Kamis!$H$7:$H$186,Kamis!$C$7:$C$186,$B24,Kamis!$A$7:$A$186,"&gt;="&amp;DATE(2026,10,1),Kamis!$A$7:$A$186,"&lt;="&amp;DATE(2026,10,31))+SUMIFS(Jumat!$H$7:$H$186,Jumat!$C$7:$C$186,$B24,Jumat!$A$7:$A$186,"&gt;="&amp;DATE(2026,10,1),Jumat!$A$7:$A$186,"&lt;="&amp;DATE(2026,10,31))</f>
        <v>0</v>
      </c>
      <c r="I24" s="45">
        <f>SUMIFS(Senin!$H$7:$H$146,Senin!$C$7:$C$146,$B24,Senin!$A$7:$A$146,"&gt;="&amp;DATE(2026,11,1),Senin!$A$7:$A$146,"&lt;="&amp;DATE(2026,11,30))+SUMIFS(Selasa!$H$7:$H$166,Selasa!$C$7:$C$166,$B24,Selasa!$A$7:$A$166,"&gt;="&amp;DATE(2026,11,1),Selasa!$A$7:$A$166,"&lt;="&amp;DATE(2026,11,30))+SUMIFS(Rabu!$H$7:$H$206,Rabu!$C$7:$C$206,$B24,Rabu!$A$7:$A$206,"&gt;="&amp;DATE(2026,11,1),Rabu!$A$7:$A$206,"&lt;="&amp;DATE(2026,11,30))+SUMIFS(Kamis!$H$7:$H$186,Kamis!$C$7:$C$186,$B24,Kamis!$A$7:$A$186,"&gt;="&amp;DATE(2026,11,1),Kamis!$A$7:$A$186,"&lt;="&amp;DATE(2026,11,30))+SUMIFS(Jumat!$H$7:$H$186,Jumat!$C$7:$C$186,$B24,Jumat!$A$7:$A$186,"&gt;="&amp;DATE(2026,11,1),Jumat!$A$7:$A$186,"&lt;="&amp;DATE(2026,11,30))</f>
        <v>0</v>
      </c>
      <c r="J24" s="45">
        <f>SUMIFS(Senin!$H$7:$H$146,Senin!$C$7:$C$146,$B24,Senin!$A$7:$A$146,"&gt;="&amp;DATE(2026,12,1),Senin!$A$7:$A$146,"&lt;="&amp;DATE(2026,12,31))+SUMIFS(Selasa!$H$7:$H$166,Selasa!$C$7:$C$166,$B24,Selasa!$A$7:$A$166,"&gt;="&amp;DATE(2026,12,1),Selasa!$A$7:$A$166,"&lt;="&amp;DATE(2026,12,31))+SUMIFS(Rabu!$H$7:$H$206,Rabu!$C$7:$C$206,$B24,Rabu!$A$7:$A$206,"&gt;="&amp;DATE(2026,12,1),Rabu!$A$7:$A$206,"&lt;="&amp;DATE(2026,12,31))+SUMIFS(Kamis!$H$7:$H$186,Kamis!$C$7:$C$186,$B24,Kamis!$A$7:$A$186,"&gt;="&amp;DATE(2026,12,1),Kamis!$A$7:$A$186,"&lt;="&amp;DATE(2026,12,31))+SUMIFS(Jumat!$H$7:$H$186,Jumat!$C$7:$C$186,$B24,Jumat!$A$7:$A$186,"&gt;="&amp;DATE(2026,12,1),Jumat!$A$7:$A$186,"&lt;="&amp;DATE(2026,12,31))</f>
        <v>0</v>
      </c>
      <c r="K24" s="45">
        <f>SUMIFS(Senin!$H$7:$H$146,Senin!$C$7:$C$146,$B24,Senin!$A$7:$A$146,"&gt;="&amp;DATE(2026,8,31),Senin!$A$7:$A$146,"&lt;="&amp;DATE(2026,9,6))+SUMIFS(Selasa!$H$7:$H$166,Selasa!$C$7:$C$166,$B24,Selasa!$A$7:$A$166,"&gt;="&amp;DATE(2026,8,31),Selasa!$A$7:$A$166,"&lt;="&amp;DATE(2026,9,6))+SUMIFS(Rabu!$H$7:$H$206,Rabu!$C$7:$C$206,$B24,Rabu!$A$7:$A$206,"&gt;="&amp;DATE(2026,8,31),Rabu!$A$7:$A$206,"&lt;="&amp;DATE(2026,9,6))+SUMIFS(Kamis!$H$7:$H$186,Kamis!$C$7:$C$186,$B24,Kamis!$A$7:$A$186,"&gt;="&amp;DATE(2026,8,31),Kamis!$A$7:$A$186,"&lt;="&amp;DATE(2026,9,6))+SUMIFS(Jumat!$H$7:$H$186,Jumat!$C$7:$C$186,$B24,Jumat!$A$7:$A$186,"&gt;="&amp;DATE(2026,8,31),Jumat!$A$7:$A$186,"&lt;="&amp;DATE(2026,9,6))</f>
        <v>0</v>
      </c>
      <c r="L24" s="45">
        <f>SUMIFS(Senin!$H$7:$H$146,Senin!$C$7:$C$146,$B24,Senin!$A$7:$A$146,"&gt;="&amp;DATE(2026,9,7),Senin!$A$7:$A$146,"&lt;="&amp;DATE(2026,9,13))+SUMIFS(Selasa!$H$7:$H$166,Selasa!$C$7:$C$166,$B24,Selasa!$A$7:$A$166,"&gt;="&amp;DATE(2026,9,7),Selasa!$A$7:$A$166,"&lt;="&amp;DATE(2026,9,13))+SUMIFS(Rabu!$H$7:$H$206,Rabu!$C$7:$C$206,$B24,Rabu!$A$7:$A$206,"&gt;="&amp;DATE(2026,9,7),Rabu!$A$7:$A$206,"&lt;="&amp;DATE(2026,9,13))+SUMIFS(Kamis!$H$7:$H$186,Kamis!$C$7:$C$186,$B24,Kamis!$A$7:$A$186,"&gt;="&amp;DATE(2026,9,7),Kamis!$A$7:$A$186,"&lt;="&amp;DATE(2026,9,13))+SUMIFS(Jumat!$H$7:$H$186,Jumat!$C$7:$C$186,$B24,Jumat!$A$7:$A$186,"&gt;="&amp;DATE(2026,9,7),Jumat!$A$7:$A$186,"&lt;="&amp;DATE(2026,9,13))</f>
        <v>0</v>
      </c>
      <c r="M24" s="45">
        <f>SUMIFS(Senin!$H$7:$H$146,Senin!$C$7:$C$146,$B24,Senin!$A$7:$A$146,"&gt;="&amp;DATE(2026,9,14),Senin!$A$7:$A$146,"&lt;="&amp;DATE(2026,9,20))+SUMIFS(Selasa!$H$7:$H$166,Selasa!$C$7:$C$166,$B24,Selasa!$A$7:$A$166,"&gt;="&amp;DATE(2026,9,14),Selasa!$A$7:$A$166,"&lt;="&amp;DATE(2026,9,20))+SUMIFS(Rabu!$H$7:$H$206,Rabu!$C$7:$C$206,$B24,Rabu!$A$7:$A$206,"&gt;="&amp;DATE(2026,9,14),Rabu!$A$7:$A$206,"&lt;="&amp;DATE(2026,9,20))+SUMIFS(Kamis!$H$7:$H$186,Kamis!$C$7:$C$186,$B24,Kamis!$A$7:$A$186,"&gt;="&amp;DATE(2026,9,14),Kamis!$A$7:$A$186,"&lt;="&amp;DATE(2026,9,20))+SUMIFS(Jumat!$H$7:$H$186,Jumat!$C$7:$C$186,$B24,Jumat!$A$7:$A$186,"&gt;="&amp;DATE(2026,9,14),Jumat!$A$7:$A$186,"&lt;="&amp;DATE(2026,9,20))</f>
        <v>0</v>
      </c>
      <c r="N24" s="45">
        <f>SUMIFS(Senin!$H$7:$H$146,Senin!$C$7:$C$146,$B24,Senin!$A$7:$A$146,"&gt;="&amp;DATE(2026,9,21),Senin!$A$7:$A$146,"&lt;="&amp;DATE(2026,9,27))+SUMIFS(Selasa!$H$7:$H$166,Selasa!$C$7:$C$166,$B24,Selasa!$A$7:$A$166,"&gt;="&amp;DATE(2026,9,21),Selasa!$A$7:$A$166,"&lt;="&amp;DATE(2026,9,27))+SUMIFS(Rabu!$H$7:$H$206,Rabu!$C$7:$C$206,$B24,Rabu!$A$7:$A$206,"&gt;="&amp;DATE(2026,9,21),Rabu!$A$7:$A$206,"&lt;="&amp;DATE(2026,9,27))+SUMIFS(Kamis!$H$7:$H$186,Kamis!$C$7:$C$186,$B24,Kamis!$A$7:$A$186,"&gt;="&amp;DATE(2026,9,21),Kamis!$A$7:$A$186,"&lt;="&amp;DATE(2026,9,27))+SUMIFS(Jumat!$H$7:$H$186,Jumat!$C$7:$C$186,$B24,Jumat!$A$7:$A$186,"&gt;="&amp;DATE(2026,9,21),Jumat!$A$7:$A$186,"&lt;="&amp;DATE(2026,9,27))</f>
        <v>0</v>
      </c>
      <c r="O24" s="45">
        <f>SUMIFS(Senin!$H$7:$H$146,Senin!$C$7:$C$146,$B24,Senin!$A$7:$A$146,"&gt;="&amp;DATE(2026,9,28),Senin!$A$7:$A$146,"&lt;="&amp;DATE(2026,10,4))+SUMIFS(Selasa!$H$7:$H$166,Selasa!$C$7:$C$166,$B24,Selasa!$A$7:$A$166,"&gt;="&amp;DATE(2026,9,28),Selasa!$A$7:$A$166,"&lt;="&amp;DATE(2026,10,4))+SUMIFS(Rabu!$H$7:$H$206,Rabu!$C$7:$C$206,$B24,Rabu!$A$7:$A$206,"&gt;="&amp;DATE(2026,9,28),Rabu!$A$7:$A$206,"&lt;="&amp;DATE(2026,10,4))+SUMIFS(Kamis!$H$7:$H$186,Kamis!$C$7:$C$186,$B24,Kamis!$A$7:$A$186,"&gt;="&amp;DATE(2026,9,28),Kamis!$A$7:$A$186,"&lt;="&amp;DATE(2026,10,4))+SUMIFS(Jumat!$H$7:$H$186,Jumat!$C$7:$C$186,$B24,Jumat!$A$7:$A$186,"&gt;="&amp;DATE(2026,9,28),Jumat!$A$7:$A$186,"&lt;="&amp;DATE(2026,10,4))</f>
        <v>0</v>
      </c>
      <c r="P24" s="45">
        <f>SUMIFS(Senin!$H$7:$H$146,Senin!$C$7:$C$146,$B24,Senin!$A$7:$A$146,"&gt;="&amp;DATE(2026,10,5),Senin!$A$7:$A$146,"&lt;="&amp;DATE(2026,10,11))+SUMIFS(Selasa!$H$7:$H$166,Selasa!$C$7:$C$166,$B24,Selasa!$A$7:$A$166,"&gt;="&amp;DATE(2026,10,5),Selasa!$A$7:$A$166,"&lt;="&amp;DATE(2026,10,11))+SUMIFS(Rabu!$H$7:$H$206,Rabu!$C$7:$C$206,$B24,Rabu!$A$7:$A$206,"&gt;="&amp;DATE(2026,10,5),Rabu!$A$7:$A$206,"&lt;="&amp;DATE(2026,10,11))+SUMIFS(Kamis!$H$7:$H$186,Kamis!$C$7:$C$186,$B24,Kamis!$A$7:$A$186,"&gt;="&amp;DATE(2026,10,5),Kamis!$A$7:$A$186,"&lt;="&amp;DATE(2026,10,11))+SUMIFS(Jumat!$H$7:$H$186,Jumat!$C$7:$C$186,$B24,Jumat!$A$7:$A$186,"&gt;="&amp;DATE(2026,10,5),Jumat!$A$7:$A$186,"&lt;="&amp;DATE(2026,10,11))</f>
        <v>0</v>
      </c>
      <c r="Q24" s="45">
        <f>SUMIFS(Senin!$H$7:$H$146,Senin!$C$7:$C$146,$B24,Senin!$A$7:$A$146,"&gt;="&amp;DATE(2026,10,12),Senin!$A$7:$A$146,"&lt;="&amp;DATE(2026,10,18))+SUMIFS(Selasa!$H$7:$H$166,Selasa!$C$7:$C$166,$B24,Selasa!$A$7:$A$166,"&gt;="&amp;DATE(2026,10,12),Selasa!$A$7:$A$166,"&lt;="&amp;DATE(2026,10,18))+SUMIFS(Rabu!$H$7:$H$206,Rabu!$C$7:$C$206,$B24,Rabu!$A$7:$A$206,"&gt;="&amp;DATE(2026,10,12),Rabu!$A$7:$A$206,"&lt;="&amp;DATE(2026,10,18))+SUMIFS(Kamis!$H$7:$H$186,Kamis!$C$7:$C$186,$B24,Kamis!$A$7:$A$186,"&gt;="&amp;DATE(2026,10,12),Kamis!$A$7:$A$186,"&lt;="&amp;DATE(2026,10,18))+SUMIFS(Jumat!$H$7:$H$186,Jumat!$C$7:$C$186,$B24,Jumat!$A$7:$A$186,"&gt;="&amp;DATE(2026,10,12),Jumat!$A$7:$A$186,"&lt;="&amp;DATE(2026,10,18))</f>
        <v>0</v>
      </c>
      <c r="R24" s="45">
        <f>SUMIFS(Senin!$H$7:$H$146,Senin!$C$7:$C$146,$B24,Senin!$A$7:$A$146,"&gt;="&amp;DATE(2026,10,19),Senin!$A$7:$A$146,"&lt;="&amp;DATE(2026,10,25))+SUMIFS(Selasa!$H$7:$H$166,Selasa!$C$7:$C$166,$B24,Selasa!$A$7:$A$166,"&gt;="&amp;DATE(2026,10,19),Selasa!$A$7:$A$166,"&lt;="&amp;DATE(2026,10,25))+SUMIFS(Rabu!$H$7:$H$206,Rabu!$C$7:$C$206,$B24,Rabu!$A$7:$A$206,"&gt;="&amp;DATE(2026,10,19),Rabu!$A$7:$A$206,"&lt;="&amp;DATE(2026,10,25))+SUMIFS(Kamis!$H$7:$H$186,Kamis!$C$7:$C$186,$B24,Kamis!$A$7:$A$186,"&gt;="&amp;DATE(2026,10,19),Kamis!$A$7:$A$186,"&lt;="&amp;DATE(2026,10,25))+SUMIFS(Jumat!$H$7:$H$186,Jumat!$C$7:$C$186,$B24,Jumat!$A$7:$A$186,"&gt;="&amp;DATE(2026,10,19),Jumat!$A$7:$A$186,"&lt;="&amp;DATE(2026,10,25))</f>
        <v>0</v>
      </c>
      <c r="S24" s="45">
        <f>SUMIFS(Senin!$H$7:$H$146,Senin!$C$7:$C$146,$B24,Senin!$A$7:$A$146,"&gt;="&amp;DATE(2026,10,26),Senin!$A$7:$A$146,"&lt;="&amp;DATE(2026,11,1))+SUMIFS(Selasa!$H$7:$H$166,Selasa!$C$7:$C$166,$B24,Selasa!$A$7:$A$166,"&gt;="&amp;DATE(2026,10,26),Selasa!$A$7:$A$166,"&lt;="&amp;DATE(2026,11,1))+SUMIFS(Rabu!$H$7:$H$206,Rabu!$C$7:$C$206,$B24,Rabu!$A$7:$A$206,"&gt;="&amp;DATE(2026,10,26),Rabu!$A$7:$A$206,"&lt;="&amp;DATE(2026,11,1))+SUMIFS(Kamis!$H$7:$H$186,Kamis!$C$7:$C$186,$B24,Kamis!$A$7:$A$186,"&gt;="&amp;DATE(2026,10,26),Kamis!$A$7:$A$186,"&lt;="&amp;DATE(2026,11,1))+SUMIFS(Jumat!$H$7:$H$186,Jumat!$C$7:$C$186,$B24,Jumat!$A$7:$A$186,"&gt;="&amp;DATE(2026,10,26),Jumat!$A$7:$A$186,"&lt;="&amp;DATE(2026,11,1))</f>
        <v>0</v>
      </c>
      <c r="T24" s="45">
        <f>SUMIFS(Senin!$H$7:$H$146,Senin!$C$7:$C$146,$B24,Senin!$A$7:$A$146,"&gt;="&amp;DATE(2026,11,2),Senin!$A$7:$A$146,"&lt;="&amp;DATE(2026,11,8))+SUMIFS(Selasa!$H$7:$H$166,Selasa!$C$7:$C$166,$B24,Selasa!$A$7:$A$166,"&gt;="&amp;DATE(2026,11,2),Selasa!$A$7:$A$166,"&lt;="&amp;DATE(2026,11,8))+SUMIFS(Rabu!$H$7:$H$206,Rabu!$C$7:$C$206,$B24,Rabu!$A$7:$A$206,"&gt;="&amp;DATE(2026,11,2),Rabu!$A$7:$A$206,"&lt;="&amp;DATE(2026,11,8))+SUMIFS(Kamis!$H$7:$H$186,Kamis!$C$7:$C$186,$B24,Kamis!$A$7:$A$186,"&gt;="&amp;DATE(2026,11,2),Kamis!$A$7:$A$186,"&lt;="&amp;DATE(2026,11,8))+SUMIFS(Jumat!$H$7:$H$186,Jumat!$C$7:$C$186,$B24,Jumat!$A$7:$A$186,"&gt;="&amp;DATE(2026,11,2),Jumat!$A$7:$A$186,"&lt;="&amp;DATE(2026,11,8))</f>
        <v>0</v>
      </c>
      <c r="U24" s="45">
        <f>SUMIFS(Senin!$H$7:$H$146,Senin!$C$7:$C$146,$B24,Senin!$A$7:$A$146,"&gt;="&amp;DATE(2026,11,9),Senin!$A$7:$A$146,"&lt;="&amp;DATE(2026,11,15))+SUMIFS(Selasa!$H$7:$H$166,Selasa!$C$7:$C$166,$B24,Selasa!$A$7:$A$166,"&gt;="&amp;DATE(2026,11,9),Selasa!$A$7:$A$166,"&lt;="&amp;DATE(2026,11,15))+SUMIFS(Rabu!$H$7:$H$206,Rabu!$C$7:$C$206,$B24,Rabu!$A$7:$A$206,"&gt;="&amp;DATE(2026,11,9),Rabu!$A$7:$A$206,"&lt;="&amp;DATE(2026,11,15))+SUMIFS(Kamis!$H$7:$H$186,Kamis!$C$7:$C$186,$B24,Kamis!$A$7:$A$186,"&gt;="&amp;DATE(2026,11,9),Kamis!$A$7:$A$186,"&lt;="&amp;DATE(2026,11,15))+SUMIFS(Jumat!$H$7:$H$186,Jumat!$C$7:$C$186,$B24,Jumat!$A$7:$A$186,"&gt;="&amp;DATE(2026,11,9),Jumat!$A$7:$A$186,"&lt;="&amp;DATE(2026,11,15))</f>
        <v>0</v>
      </c>
      <c r="V24" s="45">
        <f>SUMIFS(Senin!$H$7:$H$146,Senin!$C$7:$C$146,$B24,Senin!$A$7:$A$146,"&gt;="&amp;DATE(2026,11,16),Senin!$A$7:$A$146,"&lt;="&amp;DATE(2026,11,22))+SUMIFS(Selasa!$H$7:$H$166,Selasa!$C$7:$C$166,$B24,Selasa!$A$7:$A$166,"&gt;="&amp;DATE(2026,11,16),Selasa!$A$7:$A$166,"&lt;="&amp;DATE(2026,11,22))+SUMIFS(Rabu!$H$7:$H$206,Rabu!$C$7:$C$206,$B24,Rabu!$A$7:$A$206,"&gt;="&amp;DATE(2026,11,16),Rabu!$A$7:$A$206,"&lt;="&amp;DATE(2026,11,22))+SUMIFS(Kamis!$H$7:$H$186,Kamis!$C$7:$C$186,$B24,Kamis!$A$7:$A$186,"&gt;="&amp;DATE(2026,11,16),Kamis!$A$7:$A$186,"&lt;="&amp;DATE(2026,11,22))+SUMIFS(Jumat!$H$7:$H$186,Jumat!$C$7:$C$186,$B24,Jumat!$A$7:$A$186,"&gt;="&amp;DATE(2026,11,16),Jumat!$A$7:$A$186,"&lt;="&amp;DATE(2026,11,22))</f>
        <v>0</v>
      </c>
      <c r="W24" s="45">
        <f>SUMIFS(Senin!$H$7:$H$146,Senin!$C$7:$C$146,$B24,Senin!$A$7:$A$146,"&gt;="&amp;DATE(2026,11,23),Senin!$A$7:$A$146,"&lt;="&amp;DATE(2026,11,29))+SUMIFS(Selasa!$H$7:$H$166,Selasa!$C$7:$C$166,$B24,Selasa!$A$7:$A$166,"&gt;="&amp;DATE(2026,11,23),Selasa!$A$7:$A$166,"&lt;="&amp;DATE(2026,11,29))+SUMIFS(Rabu!$H$7:$H$206,Rabu!$C$7:$C$206,$B24,Rabu!$A$7:$A$206,"&gt;="&amp;DATE(2026,11,23),Rabu!$A$7:$A$206,"&lt;="&amp;DATE(2026,11,29))+SUMIFS(Kamis!$H$7:$H$186,Kamis!$C$7:$C$186,$B24,Kamis!$A$7:$A$186,"&gt;="&amp;DATE(2026,11,23),Kamis!$A$7:$A$186,"&lt;="&amp;DATE(2026,11,29))+SUMIFS(Jumat!$H$7:$H$186,Jumat!$C$7:$C$186,$B24,Jumat!$A$7:$A$186,"&gt;="&amp;DATE(2026,11,23),Jumat!$A$7:$A$186,"&lt;="&amp;DATE(2026,11,29))</f>
        <v>0</v>
      </c>
      <c r="X24" s="45">
        <f>SUMIFS(Senin!$H$7:$H$146,Senin!$C$7:$C$146,$B24,Senin!$A$7:$A$146,"&gt;="&amp;DATE(2026,11,30),Senin!$A$7:$A$146,"&lt;="&amp;DATE(2026,12,6))+SUMIFS(Selasa!$H$7:$H$166,Selasa!$C$7:$C$166,$B24,Selasa!$A$7:$A$166,"&gt;="&amp;DATE(2026,11,30),Selasa!$A$7:$A$166,"&lt;="&amp;DATE(2026,12,6))+SUMIFS(Rabu!$H$7:$H$206,Rabu!$C$7:$C$206,$B24,Rabu!$A$7:$A$206,"&gt;="&amp;DATE(2026,11,30),Rabu!$A$7:$A$206,"&lt;="&amp;DATE(2026,12,6))+SUMIFS(Kamis!$H$7:$H$186,Kamis!$C$7:$C$186,$B24,Kamis!$A$7:$A$186,"&gt;="&amp;DATE(2026,11,30),Kamis!$A$7:$A$186,"&lt;="&amp;DATE(2026,12,6))+SUMIFS(Jumat!$H$7:$H$186,Jumat!$C$7:$C$186,$B24,Jumat!$A$7:$A$186,"&gt;="&amp;DATE(2026,11,30),Jumat!$A$7:$A$186,"&lt;="&amp;DATE(2026,12,6))</f>
        <v>0</v>
      </c>
      <c r="Y24" s="45">
        <f>SUMIFS(Senin!$H$7:$H$146,Senin!$C$7:$C$146,$B24,Senin!$A$7:$A$146,"&gt;="&amp;DATE(2026,12,7),Senin!$A$7:$A$146,"&lt;="&amp;DATE(2026,12,13))+SUMIFS(Selasa!$H$7:$H$166,Selasa!$C$7:$C$166,$B24,Selasa!$A$7:$A$166,"&gt;="&amp;DATE(2026,12,7),Selasa!$A$7:$A$166,"&lt;="&amp;DATE(2026,12,13))+SUMIFS(Rabu!$H$7:$H$206,Rabu!$C$7:$C$206,$B24,Rabu!$A$7:$A$206,"&gt;="&amp;DATE(2026,12,7),Rabu!$A$7:$A$206,"&lt;="&amp;DATE(2026,12,13))+SUMIFS(Kamis!$H$7:$H$186,Kamis!$C$7:$C$186,$B24,Kamis!$A$7:$A$186,"&gt;="&amp;DATE(2026,12,7),Kamis!$A$7:$A$186,"&lt;="&amp;DATE(2026,12,13))+SUMIFS(Jumat!$H$7:$H$186,Jumat!$C$7:$C$186,$B24,Jumat!$A$7:$A$186,"&gt;="&amp;DATE(2026,12,7),Jumat!$A$7:$A$186,"&lt;="&amp;DATE(2026,12,13))</f>
        <v>0</v>
      </c>
      <c r="Z24" s="45">
        <f>SUMIFS(Senin!$H$7:$H$146,Senin!$C$7:$C$146,$B24,Senin!$A$7:$A$146,"&gt;="&amp;DATE(2026,12,14),Senin!$A$7:$A$146,"&lt;="&amp;DATE(2026,12,20))+SUMIFS(Selasa!$H$7:$H$166,Selasa!$C$7:$C$166,$B24,Selasa!$A$7:$A$166,"&gt;="&amp;DATE(2026,12,14),Selasa!$A$7:$A$166,"&lt;="&amp;DATE(2026,12,20))+SUMIFS(Rabu!$H$7:$H$206,Rabu!$C$7:$C$206,$B24,Rabu!$A$7:$A$206,"&gt;="&amp;DATE(2026,12,14),Rabu!$A$7:$A$206,"&lt;="&amp;DATE(2026,12,20))+SUMIFS(Kamis!$H$7:$H$186,Kamis!$C$7:$C$186,$B24,Kamis!$A$7:$A$186,"&gt;="&amp;DATE(2026,12,14),Kamis!$A$7:$A$186,"&lt;="&amp;DATE(2026,12,20))+SUMIFS(Jumat!$H$7:$H$186,Jumat!$C$7:$C$186,$B24,Jumat!$A$7:$A$186,"&gt;="&amp;DATE(2026,12,14),Jumat!$A$7:$A$186,"&lt;="&amp;DATE(2026,12,20))</f>
        <v>0</v>
      </c>
      <c r="AA24" s="45">
        <f>SUMIFS(Senin!$H$7:$H$146,Senin!$C$7:$C$146,$B24,Senin!$A$7:$A$146,"&gt;="&amp;DATE(2026,12,21),Senin!$A$7:$A$146,"&lt;="&amp;DATE(2026,12,27))+SUMIFS(Selasa!$H$7:$H$166,Selasa!$C$7:$C$166,$B24,Selasa!$A$7:$A$166,"&gt;="&amp;DATE(2026,12,21),Selasa!$A$7:$A$166,"&lt;="&amp;DATE(2026,12,27))+SUMIFS(Rabu!$H$7:$H$206,Rabu!$C$7:$C$206,$B24,Rabu!$A$7:$A$206,"&gt;="&amp;DATE(2026,12,21),Rabu!$A$7:$A$206,"&lt;="&amp;DATE(2026,12,27))+SUMIFS(Kamis!$H$7:$H$186,Kamis!$C$7:$C$186,$B24,Kamis!$A$7:$A$186,"&gt;="&amp;DATE(2026,12,21),Kamis!$A$7:$A$186,"&lt;="&amp;DATE(2026,12,27))+SUMIFS(Jumat!$H$7:$H$186,Jumat!$C$7:$C$186,$B24,Jumat!$A$7:$A$186,"&gt;="&amp;DATE(2026,12,21),Jumat!$A$7:$A$186,"&lt;="&amp;DATE(2026,12,27))</f>
        <v>0</v>
      </c>
      <c r="AB24" s="45">
        <f>SUMIFS(Senin!$H$7:$H$146,Senin!$C$7:$C$146,$B24,Senin!$A$7:$A$146,"&gt;="&amp;DATE(2026,12,28),Senin!$A$7:$A$146,"&lt;="&amp;DATE(2027,1,3))+SUMIFS(Selasa!$H$7:$H$166,Selasa!$C$7:$C$166,$B24,Selasa!$A$7:$A$166,"&gt;="&amp;DATE(2026,12,28),Selasa!$A$7:$A$166,"&lt;="&amp;DATE(2027,1,3))+SUMIFS(Rabu!$H$7:$H$206,Rabu!$C$7:$C$206,$B24,Rabu!$A$7:$A$206,"&gt;="&amp;DATE(2026,12,28),Rabu!$A$7:$A$206,"&lt;="&amp;DATE(2027,1,3))+SUMIFS(Kamis!$H$7:$H$186,Kamis!$C$7:$C$186,$B24,Kamis!$A$7:$A$186,"&gt;="&amp;DATE(2026,12,28),Kamis!$A$7:$A$186,"&lt;="&amp;DATE(2027,1,3))+SUMIFS(Jumat!$H$7:$H$186,Jumat!$C$7:$C$186,$B24,Jumat!$A$7:$A$186,"&gt;="&amp;DATE(2026,12,28),Jumat!$A$7:$A$186,"&lt;="&amp;DATE(2027,1,3))</f>
        <v>0</v>
      </c>
      <c r="AC24" s="45">
        <f>SUMIFS(Senin!$H$7:$H$146,Senin!$C$7:$C$146,$B24,Senin!$A$7:$A$146,"&gt;="&amp;DATE(2027,1,4),Senin!$A$7:$A$146,"&lt;="&amp;DATE(2027,1,10))+SUMIFS(Selasa!$H$7:$H$166,Selasa!$C$7:$C$166,$B24,Selasa!$A$7:$A$166,"&gt;="&amp;DATE(2027,1,4),Selasa!$A$7:$A$166,"&lt;="&amp;DATE(2027,1,10))+SUMIFS(Rabu!$H$7:$H$206,Rabu!$C$7:$C$206,$B24,Rabu!$A$7:$A$206,"&gt;="&amp;DATE(2027,1,4),Rabu!$A$7:$A$206,"&lt;="&amp;DATE(2027,1,10))+SUMIFS(Kamis!$H$7:$H$186,Kamis!$C$7:$C$186,$B24,Kamis!$A$7:$A$186,"&gt;="&amp;DATE(2027,1,4),Kamis!$A$7:$A$186,"&lt;="&amp;DATE(2027,1,10))+SUMIFS(Jumat!$H$7:$H$186,Jumat!$C$7:$C$186,$B24,Jumat!$A$7:$A$186,"&gt;="&amp;DATE(2027,1,4),Jumat!$A$7:$A$186,"&lt;="&amp;DATE(2027,1,10))</f>
        <v>0</v>
      </c>
      <c r="AD24" s="45">
        <f>SUMIFS(Senin!$H$7:$H$146,Senin!$C$7:$C$146,$B24,Senin!$A$7:$A$146,"&gt;="&amp;DATE(2027,1,11),Senin!$A$7:$A$146,"&lt;="&amp;DATE(2027,1,17))+SUMIFS(Selasa!$H$7:$H$166,Selasa!$C$7:$C$166,$B24,Selasa!$A$7:$A$166,"&gt;="&amp;DATE(2027,1,11),Selasa!$A$7:$A$166,"&lt;="&amp;DATE(2027,1,17))+SUMIFS(Rabu!$H$7:$H$206,Rabu!$C$7:$C$206,$B24,Rabu!$A$7:$A$206,"&gt;="&amp;DATE(2027,1,11),Rabu!$A$7:$A$206,"&lt;="&amp;DATE(2027,1,17))+SUMIFS(Kamis!$H$7:$H$186,Kamis!$C$7:$C$186,$B24,Kamis!$A$7:$A$186,"&gt;="&amp;DATE(2027,1,11),Kamis!$A$7:$A$186,"&lt;="&amp;DATE(2027,1,17))+SUMIFS(Jumat!$H$7:$H$186,Jumat!$C$7:$C$186,$B24,Jumat!$A$7:$A$186,"&gt;="&amp;DATE(2027,1,11),Jumat!$A$7:$A$186,"&lt;="&amp;DATE(2027,1,17))</f>
        <v>0</v>
      </c>
    </row>
    <row r="25" ht="15.75" customHeight="1">
      <c r="A25" s="27">
        <v>22.0</v>
      </c>
      <c r="B25" s="61" t="s">
        <v>12</v>
      </c>
      <c r="C25" s="41">
        <f>COUNTIFS(Senin!$C$7:$C$146,$B25,Senin!$G$7:$G$146,"Ya",Senin!$E$7:$E$146,"&lt;&gt;")+COUNTIFS(Selasa!$C$7:$C$166,$B25,Selasa!$G$7:$G$166,"Ya",Selasa!$E$7:$E$166,"&lt;&gt;")+COUNTIFS(Rabu!$C$7:$C$206,$B25,Rabu!$G$7:$G$206,"Ya",Rabu!$E$7:$E$206,"&lt;&gt;")+COUNTIFS(Kamis!$C$7:$C$186,$B25,Kamis!$G$7:$G$186,"Ya",Kamis!$E$7:$E$186,"&lt;&gt;")+COUNTIFS(Jumat!$C$7:$C$186,$B25,Jumat!$G$7:$G$186,"Ya",Jumat!$E$7:$E$186,"&lt;&gt;")</f>
        <v>0</v>
      </c>
      <c r="D25" s="41">
        <f>COUNTIFS(Senin!$C$7:$C$146,$B25,Senin!$G$7:$G$146,"Ya",Senin!$E$7:$E$146,"")+COUNTIFS(Selasa!$C$7:$C$166,$B25,Selasa!$G$7:$G$166,"Ya",Selasa!$E$7:$E$166,"")+COUNTIFS(Rabu!$C$7:$C$206,$B25,Rabu!$G$7:$G$206,"Ya",Rabu!$E$7:$E$206,"")+COUNTIFS(Kamis!$C$7:$C$186,$B25,Kamis!$G$7:$G$186,"Ya",Kamis!$E$7:$E$186,"")+COUNTIFS(Jumat!$C$7:$C$186,$B25,Jumat!$G$7:$G$186,"Ya",Jumat!$E$7:$E$186,"")</f>
        <v>0</v>
      </c>
      <c r="E25" s="45">
        <f>SUMIFS(Senin!$H$7:$H$146,Senin!$C$7:$C$146,$B25,Senin!$A$7:$A$146,"&gt;="&amp;DATE(2026,8,1),Senin!$A$7:$A$146,"&lt;="&amp;DATE(2026,12,31))+SUMIFS(Selasa!$H$7:$H$166,Selasa!$C$7:$C$166,$B25,Selasa!$A$7:$A$166,"&gt;="&amp;DATE(2026,8,1),Selasa!$A$7:$A$166,"&lt;="&amp;DATE(2026,12,31))+SUMIFS(Rabu!$H$7:$H$206,Rabu!$C$7:$C$206,$B25,Rabu!$A$7:$A$206,"&gt;="&amp;DATE(2026,8,1),Rabu!$A$7:$A$206,"&lt;="&amp;DATE(2026,12,31))+SUMIFS(Kamis!$H$7:$H$186,Kamis!$C$7:$C$186,$B25,Kamis!$A$7:$A$186,"&gt;="&amp;DATE(2026,8,1),Kamis!$A$7:$A$186,"&lt;="&amp;DATE(2026,12,31))+SUMIFS(Jumat!$H$7:$H$186,Jumat!$C$7:$C$186,$B25,Jumat!$A$7:$A$186,"&gt;="&amp;DATE(2026,8,1),Jumat!$A$7:$A$186,"&lt;="&amp;DATE(2026,12,31))</f>
        <v>0</v>
      </c>
      <c r="F25" s="45">
        <f>SUMIFS(Senin!$H$7:$H$146,Senin!$C$7:$C$146,$B25,Senin!$A$7:$A$146,"&gt;="&amp;DATE(2026,8,1),Senin!$A$7:$A$146,"&lt;="&amp;DATE(2026,8,31))+SUMIFS(Selasa!$H$7:$H$166,Selasa!$C$7:$C$166,$B25,Selasa!$A$7:$A$166,"&gt;="&amp;DATE(2026,8,1),Selasa!$A$7:$A$166,"&lt;="&amp;DATE(2026,8,31))+SUMIFS(Rabu!$H$7:$H$206,Rabu!$C$7:$C$206,$B25,Rabu!$A$7:$A$206,"&gt;="&amp;DATE(2026,8,1),Rabu!$A$7:$A$206,"&lt;="&amp;DATE(2026,8,31))+SUMIFS(Kamis!$H$7:$H$186,Kamis!$C$7:$C$186,$B25,Kamis!$A$7:$A$186,"&gt;="&amp;DATE(2026,8,1),Kamis!$A$7:$A$186,"&lt;="&amp;DATE(2026,8,31))+SUMIFS(Jumat!$H$7:$H$186,Jumat!$C$7:$C$186,$B25,Jumat!$A$7:$A$186,"&gt;="&amp;DATE(2026,8,1),Jumat!$A$7:$A$186,"&lt;="&amp;DATE(2026,8,31))</f>
        <v>0</v>
      </c>
      <c r="G25" s="45">
        <f>SUMIFS(Senin!$H$7:$H$146,Senin!$C$7:$C$146,$B25,Senin!$A$7:$A$146,"&gt;="&amp;DATE(2026,9,1),Senin!$A$7:$A$146,"&lt;="&amp;DATE(2026,9,30))+SUMIFS(Selasa!$H$7:$H$166,Selasa!$C$7:$C$166,$B25,Selasa!$A$7:$A$166,"&gt;="&amp;DATE(2026,9,1),Selasa!$A$7:$A$166,"&lt;="&amp;DATE(2026,9,30))+SUMIFS(Rabu!$H$7:$H$206,Rabu!$C$7:$C$206,$B25,Rabu!$A$7:$A$206,"&gt;="&amp;DATE(2026,9,1),Rabu!$A$7:$A$206,"&lt;="&amp;DATE(2026,9,30))+SUMIFS(Kamis!$H$7:$H$186,Kamis!$C$7:$C$186,$B25,Kamis!$A$7:$A$186,"&gt;="&amp;DATE(2026,9,1),Kamis!$A$7:$A$186,"&lt;="&amp;DATE(2026,9,30))+SUMIFS(Jumat!$H$7:$H$186,Jumat!$C$7:$C$186,$B25,Jumat!$A$7:$A$186,"&gt;="&amp;DATE(2026,9,1),Jumat!$A$7:$A$186,"&lt;="&amp;DATE(2026,9,30))</f>
        <v>0</v>
      </c>
      <c r="H25" s="45">
        <f>SUMIFS(Senin!$H$7:$H$146,Senin!$C$7:$C$146,$B25,Senin!$A$7:$A$146,"&gt;="&amp;DATE(2026,10,1),Senin!$A$7:$A$146,"&lt;="&amp;DATE(2026,10,31))+SUMIFS(Selasa!$H$7:$H$166,Selasa!$C$7:$C$166,$B25,Selasa!$A$7:$A$166,"&gt;="&amp;DATE(2026,10,1),Selasa!$A$7:$A$166,"&lt;="&amp;DATE(2026,10,31))+SUMIFS(Rabu!$H$7:$H$206,Rabu!$C$7:$C$206,$B25,Rabu!$A$7:$A$206,"&gt;="&amp;DATE(2026,10,1),Rabu!$A$7:$A$206,"&lt;="&amp;DATE(2026,10,31))+SUMIFS(Kamis!$H$7:$H$186,Kamis!$C$7:$C$186,$B25,Kamis!$A$7:$A$186,"&gt;="&amp;DATE(2026,10,1),Kamis!$A$7:$A$186,"&lt;="&amp;DATE(2026,10,31))+SUMIFS(Jumat!$H$7:$H$186,Jumat!$C$7:$C$186,$B25,Jumat!$A$7:$A$186,"&gt;="&amp;DATE(2026,10,1),Jumat!$A$7:$A$186,"&lt;="&amp;DATE(2026,10,31))</f>
        <v>0</v>
      </c>
      <c r="I25" s="45">
        <f>SUMIFS(Senin!$H$7:$H$146,Senin!$C$7:$C$146,$B25,Senin!$A$7:$A$146,"&gt;="&amp;DATE(2026,11,1),Senin!$A$7:$A$146,"&lt;="&amp;DATE(2026,11,30))+SUMIFS(Selasa!$H$7:$H$166,Selasa!$C$7:$C$166,$B25,Selasa!$A$7:$A$166,"&gt;="&amp;DATE(2026,11,1),Selasa!$A$7:$A$166,"&lt;="&amp;DATE(2026,11,30))+SUMIFS(Rabu!$H$7:$H$206,Rabu!$C$7:$C$206,$B25,Rabu!$A$7:$A$206,"&gt;="&amp;DATE(2026,11,1),Rabu!$A$7:$A$206,"&lt;="&amp;DATE(2026,11,30))+SUMIFS(Kamis!$H$7:$H$186,Kamis!$C$7:$C$186,$B25,Kamis!$A$7:$A$186,"&gt;="&amp;DATE(2026,11,1),Kamis!$A$7:$A$186,"&lt;="&amp;DATE(2026,11,30))+SUMIFS(Jumat!$H$7:$H$186,Jumat!$C$7:$C$186,$B25,Jumat!$A$7:$A$186,"&gt;="&amp;DATE(2026,11,1),Jumat!$A$7:$A$186,"&lt;="&amp;DATE(2026,11,30))</f>
        <v>0</v>
      </c>
      <c r="J25" s="45">
        <f>SUMIFS(Senin!$H$7:$H$146,Senin!$C$7:$C$146,$B25,Senin!$A$7:$A$146,"&gt;="&amp;DATE(2026,12,1),Senin!$A$7:$A$146,"&lt;="&amp;DATE(2026,12,31))+SUMIFS(Selasa!$H$7:$H$166,Selasa!$C$7:$C$166,$B25,Selasa!$A$7:$A$166,"&gt;="&amp;DATE(2026,12,1),Selasa!$A$7:$A$166,"&lt;="&amp;DATE(2026,12,31))+SUMIFS(Rabu!$H$7:$H$206,Rabu!$C$7:$C$206,$B25,Rabu!$A$7:$A$206,"&gt;="&amp;DATE(2026,12,1),Rabu!$A$7:$A$206,"&lt;="&amp;DATE(2026,12,31))+SUMIFS(Kamis!$H$7:$H$186,Kamis!$C$7:$C$186,$B25,Kamis!$A$7:$A$186,"&gt;="&amp;DATE(2026,12,1),Kamis!$A$7:$A$186,"&lt;="&amp;DATE(2026,12,31))+SUMIFS(Jumat!$H$7:$H$186,Jumat!$C$7:$C$186,$B25,Jumat!$A$7:$A$186,"&gt;="&amp;DATE(2026,12,1),Jumat!$A$7:$A$186,"&lt;="&amp;DATE(2026,12,31))</f>
        <v>0</v>
      </c>
      <c r="K25" s="45">
        <f>SUMIFS(Senin!$H$7:$H$146,Senin!$C$7:$C$146,$B25,Senin!$A$7:$A$146,"&gt;="&amp;DATE(2026,8,31),Senin!$A$7:$A$146,"&lt;="&amp;DATE(2026,9,6))+SUMIFS(Selasa!$H$7:$H$166,Selasa!$C$7:$C$166,$B25,Selasa!$A$7:$A$166,"&gt;="&amp;DATE(2026,8,31),Selasa!$A$7:$A$166,"&lt;="&amp;DATE(2026,9,6))+SUMIFS(Rabu!$H$7:$H$206,Rabu!$C$7:$C$206,$B25,Rabu!$A$7:$A$206,"&gt;="&amp;DATE(2026,8,31),Rabu!$A$7:$A$206,"&lt;="&amp;DATE(2026,9,6))+SUMIFS(Kamis!$H$7:$H$186,Kamis!$C$7:$C$186,$B25,Kamis!$A$7:$A$186,"&gt;="&amp;DATE(2026,8,31),Kamis!$A$7:$A$186,"&lt;="&amp;DATE(2026,9,6))+SUMIFS(Jumat!$H$7:$H$186,Jumat!$C$7:$C$186,$B25,Jumat!$A$7:$A$186,"&gt;="&amp;DATE(2026,8,31),Jumat!$A$7:$A$186,"&lt;="&amp;DATE(2026,9,6))</f>
        <v>0</v>
      </c>
      <c r="L25" s="45">
        <f>SUMIFS(Senin!$H$7:$H$146,Senin!$C$7:$C$146,$B25,Senin!$A$7:$A$146,"&gt;="&amp;DATE(2026,9,7),Senin!$A$7:$A$146,"&lt;="&amp;DATE(2026,9,13))+SUMIFS(Selasa!$H$7:$H$166,Selasa!$C$7:$C$166,$B25,Selasa!$A$7:$A$166,"&gt;="&amp;DATE(2026,9,7),Selasa!$A$7:$A$166,"&lt;="&amp;DATE(2026,9,13))+SUMIFS(Rabu!$H$7:$H$206,Rabu!$C$7:$C$206,$B25,Rabu!$A$7:$A$206,"&gt;="&amp;DATE(2026,9,7),Rabu!$A$7:$A$206,"&lt;="&amp;DATE(2026,9,13))+SUMIFS(Kamis!$H$7:$H$186,Kamis!$C$7:$C$186,$B25,Kamis!$A$7:$A$186,"&gt;="&amp;DATE(2026,9,7),Kamis!$A$7:$A$186,"&lt;="&amp;DATE(2026,9,13))+SUMIFS(Jumat!$H$7:$H$186,Jumat!$C$7:$C$186,$B25,Jumat!$A$7:$A$186,"&gt;="&amp;DATE(2026,9,7),Jumat!$A$7:$A$186,"&lt;="&amp;DATE(2026,9,13))</f>
        <v>0</v>
      </c>
      <c r="M25" s="45">
        <f>SUMIFS(Senin!$H$7:$H$146,Senin!$C$7:$C$146,$B25,Senin!$A$7:$A$146,"&gt;="&amp;DATE(2026,9,14),Senin!$A$7:$A$146,"&lt;="&amp;DATE(2026,9,20))+SUMIFS(Selasa!$H$7:$H$166,Selasa!$C$7:$C$166,$B25,Selasa!$A$7:$A$166,"&gt;="&amp;DATE(2026,9,14),Selasa!$A$7:$A$166,"&lt;="&amp;DATE(2026,9,20))+SUMIFS(Rabu!$H$7:$H$206,Rabu!$C$7:$C$206,$B25,Rabu!$A$7:$A$206,"&gt;="&amp;DATE(2026,9,14),Rabu!$A$7:$A$206,"&lt;="&amp;DATE(2026,9,20))+SUMIFS(Kamis!$H$7:$H$186,Kamis!$C$7:$C$186,$B25,Kamis!$A$7:$A$186,"&gt;="&amp;DATE(2026,9,14),Kamis!$A$7:$A$186,"&lt;="&amp;DATE(2026,9,20))+SUMIFS(Jumat!$H$7:$H$186,Jumat!$C$7:$C$186,$B25,Jumat!$A$7:$A$186,"&gt;="&amp;DATE(2026,9,14),Jumat!$A$7:$A$186,"&lt;="&amp;DATE(2026,9,20))</f>
        <v>0</v>
      </c>
      <c r="N25" s="45">
        <f>SUMIFS(Senin!$H$7:$H$146,Senin!$C$7:$C$146,$B25,Senin!$A$7:$A$146,"&gt;="&amp;DATE(2026,9,21),Senin!$A$7:$A$146,"&lt;="&amp;DATE(2026,9,27))+SUMIFS(Selasa!$H$7:$H$166,Selasa!$C$7:$C$166,$B25,Selasa!$A$7:$A$166,"&gt;="&amp;DATE(2026,9,21),Selasa!$A$7:$A$166,"&lt;="&amp;DATE(2026,9,27))+SUMIFS(Rabu!$H$7:$H$206,Rabu!$C$7:$C$206,$B25,Rabu!$A$7:$A$206,"&gt;="&amp;DATE(2026,9,21),Rabu!$A$7:$A$206,"&lt;="&amp;DATE(2026,9,27))+SUMIFS(Kamis!$H$7:$H$186,Kamis!$C$7:$C$186,$B25,Kamis!$A$7:$A$186,"&gt;="&amp;DATE(2026,9,21),Kamis!$A$7:$A$186,"&lt;="&amp;DATE(2026,9,27))+SUMIFS(Jumat!$H$7:$H$186,Jumat!$C$7:$C$186,$B25,Jumat!$A$7:$A$186,"&gt;="&amp;DATE(2026,9,21),Jumat!$A$7:$A$186,"&lt;="&amp;DATE(2026,9,27))</f>
        <v>0</v>
      </c>
      <c r="O25" s="45">
        <f>SUMIFS(Senin!$H$7:$H$146,Senin!$C$7:$C$146,$B25,Senin!$A$7:$A$146,"&gt;="&amp;DATE(2026,9,28),Senin!$A$7:$A$146,"&lt;="&amp;DATE(2026,10,4))+SUMIFS(Selasa!$H$7:$H$166,Selasa!$C$7:$C$166,$B25,Selasa!$A$7:$A$166,"&gt;="&amp;DATE(2026,9,28),Selasa!$A$7:$A$166,"&lt;="&amp;DATE(2026,10,4))+SUMIFS(Rabu!$H$7:$H$206,Rabu!$C$7:$C$206,$B25,Rabu!$A$7:$A$206,"&gt;="&amp;DATE(2026,9,28),Rabu!$A$7:$A$206,"&lt;="&amp;DATE(2026,10,4))+SUMIFS(Kamis!$H$7:$H$186,Kamis!$C$7:$C$186,$B25,Kamis!$A$7:$A$186,"&gt;="&amp;DATE(2026,9,28),Kamis!$A$7:$A$186,"&lt;="&amp;DATE(2026,10,4))+SUMIFS(Jumat!$H$7:$H$186,Jumat!$C$7:$C$186,$B25,Jumat!$A$7:$A$186,"&gt;="&amp;DATE(2026,9,28),Jumat!$A$7:$A$186,"&lt;="&amp;DATE(2026,10,4))</f>
        <v>0</v>
      </c>
      <c r="P25" s="45">
        <f>SUMIFS(Senin!$H$7:$H$146,Senin!$C$7:$C$146,$B25,Senin!$A$7:$A$146,"&gt;="&amp;DATE(2026,10,5),Senin!$A$7:$A$146,"&lt;="&amp;DATE(2026,10,11))+SUMIFS(Selasa!$H$7:$H$166,Selasa!$C$7:$C$166,$B25,Selasa!$A$7:$A$166,"&gt;="&amp;DATE(2026,10,5),Selasa!$A$7:$A$166,"&lt;="&amp;DATE(2026,10,11))+SUMIFS(Rabu!$H$7:$H$206,Rabu!$C$7:$C$206,$B25,Rabu!$A$7:$A$206,"&gt;="&amp;DATE(2026,10,5),Rabu!$A$7:$A$206,"&lt;="&amp;DATE(2026,10,11))+SUMIFS(Kamis!$H$7:$H$186,Kamis!$C$7:$C$186,$B25,Kamis!$A$7:$A$186,"&gt;="&amp;DATE(2026,10,5),Kamis!$A$7:$A$186,"&lt;="&amp;DATE(2026,10,11))+SUMIFS(Jumat!$H$7:$H$186,Jumat!$C$7:$C$186,$B25,Jumat!$A$7:$A$186,"&gt;="&amp;DATE(2026,10,5),Jumat!$A$7:$A$186,"&lt;="&amp;DATE(2026,10,11))</f>
        <v>0</v>
      </c>
      <c r="Q25" s="45">
        <f>SUMIFS(Senin!$H$7:$H$146,Senin!$C$7:$C$146,$B25,Senin!$A$7:$A$146,"&gt;="&amp;DATE(2026,10,12),Senin!$A$7:$A$146,"&lt;="&amp;DATE(2026,10,18))+SUMIFS(Selasa!$H$7:$H$166,Selasa!$C$7:$C$166,$B25,Selasa!$A$7:$A$166,"&gt;="&amp;DATE(2026,10,12),Selasa!$A$7:$A$166,"&lt;="&amp;DATE(2026,10,18))+SUMIFS(Rabu!$H$7:$H$206,Rabu!$C$7:$C$206,$B25,Rabu!$A$7:$A$206,"&gt;="&amp;DATE(2026,10,12),Rabu!$A$7:$A$206,"&lt;="&amp;DATE(2026,10,18))+SUMIFS(Kamis!$H$7:$H$186,Kamis!$C$7:$C$186,$B25,Kamis!$A$7:$A$186,"&gt;="&amp;DATE(2026,10,12),Kamis!$A$7:$A$186,"&lt;="&amp;DATE(2026,10,18))+SUMIFS(Jumat!$H$7:$H$186,Jumat!$C$7:$C$186,$B25,Jumat!$A$7:$A$186,"&gt;="&amp;DATE(2026,10,12),Jumat!$A$7:$A$186,"&lt;="&amp;DATE(2026,10,18))</f>
        <v>0</v>
      </c>
      <c r="R25" s="45">
        <f>SUMIFS(Senin!$H$7:$H$146,Senin!$C$7:$C$146,$B25,Senin!$A$7:$A$146,"&gt;="&amp;DATE(2026,10,19),Senin!$A$7:$A$146,"&lt;="&amp;DATE(2026,10,25))+SUMIFS(Selasa!$H$7:$H$166,Selasa!$C$7:$C$166,$B25,Selasa!$A$7:$A$166,"&gt;="&amp;DATE(2026,10,19),Selasa!$A$7:$A$166,"&lt;="&amp;DATE(2026,10,25))+SUMIFS(Rabu!$H$7:$H$206,Rabu!$C$7:$C$206,$B25,Rabu!$A$7:$A$206,"&gt;="&amp;DATE(2026,10,19),Rabu!$A$7:$A$206,"&lt;="&amp;DATE(2026,10,25))+SUMIFS(Kamis!$H$7:$H$186,Kamis!$C$7:$C$186,$B25,Kamis!$A$7:$A$186,"&gt;="&amp;DATE(2026,10,19),Kamis!$A$7:$A$186,"&lt;="&amp;DATE(2026,10,25))+SUMIFS(Jumat!$H$7:$H$186,Jumat!$C$7:$C$186,$B25,Jumat!$A$7:$A$186,"&gt;="&amp;DATE(2026,10,19),Jumat!$A$7:$A$186,"&lt;="&amp;DATE(2026,10,25))</f>
        <v>0</v>
      </c>
      <c r="S25" s="45">
        <f>SUMIFS(Senin!$H$7:$H$146,Senin!$C$7:$C$146,$B25,Senin!$A$7:$A$146,"&gt;="&amp;DATE(2026,10,26),Senin!$A$7:$A$146,"&lt;="&amp;DATE(2026,11,1))+SUMIFS(Selasa!$H$7:$H$166,Selasa!$C$7:$C$166,$B25,Selasa!$A$7:$A$166,"&gt;="&amp;DATE(2026,10,26),Selasa!$A$7:$A$166,"&lt;="&amp;DATE(2026,11,1))+SUMIFS(Rabu!$H$7:$H$206,Rabu!$C$7:$C$206,$B25,Rabu!$A$7:$A$206,"&gt;="&amp;DATE(2026,10,26),Rabu!$A$7:$A$206,"&lt;="&amp;DATE(2026,11,1))+SUMIFS(Kamis!$H$7:$H$186,Kamis!$C$7:$C$186,$B25,Kamis!$A$7:$A$186,"&gt;="&amp;DATE(2026,10,26),Kamis!$A$7:$A$186,"&lt;="&amp;DATE(2026,11,1))+SUMIFS(Jumat!$H$7:$H$186,Jumat!$C$7:$C$186,$B25,Jumat!$A$7:$A$186,"&gt;="&amp;DATE(2026,10,26),Jumat!$A$7:$A$186,"&lt;="&amp;DATE(2026,11,1))</f>
        <v>0</v>
      </c>
      <c r="T25" s="45">
        <f>SUMIFS(Senin!$H$7:$H$146,Senin!$C$7:$C$146,$B25,Senin!$A$7:$A$146,"&gt;="&amp;DATE(2026,11,2),Senin!$A$7:$A$146,"&lt;="&amp;DATE(2026,11,8))+SUMIFS(Selasa!$H$7:$H$166,Selasa!$C$7:$C$166,$B25,Selasa!$A$7:$A$166,"&gt;="&amp;DATE(2026,11,2),Selasa!$A$7:$A$166,"&lt;="&amp;DATE(2026,11,8))+SUMIFS(Rabu!$H$7:$H$206,Rabu!$C$7:$C$206,$B25,Rabu!$A$7:$A$206,"&gt;="&amp;DATE(2026,11,2),Rabu!$A$7:$A$206,"&lt;="&amp;DATE(2026,11,8))+SUMIFS(Kamis!$H$7:$H$186,Kamis!$C$7:$C$186,$B25,Kamis!$A$7:$A$186,"&gt;="&amp;DATE(2026,11,2),Kamis!$A$7:$A$186,"&lt;="&amp;DATE(2026,11,8))+SUMIFS(Jumat!$H$7:$H$186,Jumat!$C$7:$C$186,$B25,Jumat!$A$7:$A$186,"&gt;="&amp;DATE(2026,11,2),Jumat!$A$7:$A$186,"&lt;="&amp;DATE(2026,11,8))</f>
        <v>0</v>
      </c>
      <c r="U25" s="45">
        <f>SUMIFS(Senin!$H$7:$H$146,Senin!$C$7:$C$146,$B25,Senin!$A$7:$A$146,"&gt;="&amp;DATE(2026,11,9),Senin!$A$7:$A$146,"&lt;="&amp;DATE(2026,11,15))+SUMIFS(Selasa!$H$7:$H$166,Selasa!$C$7:$C$166,$B25,Selasa!$A$7:$A$166,"&gt;="&amp;DATE(2026,11,9),Selasa!$A$7:$A$166,"&lt;="&amp;DATE(2026,11,15))+SUMIFS(Rabu!$H$7:$H$206,Rabu!$C$7:$C$206,$B25,Rabu!$A$7:$A$206,"&gt;="&amp;DATE(2026,11,9),Rabu!$A$7:$A$206,"&lt;="&amp;DATE(2026,11,15))+SUMIFS(Kamis!$H$7:$H$186,Kamis!$C$7:$C$186,$B25,Kamis!$A$7:$A$186,"&gt;="&amp;DATE(2026,11,9),Kamis!$A$7:$A$186,"&lt;="&amp;DATE(2026,11,15))+SUMIFS(Jumat!$H$7:$H$186,Jumat!$C$7:$C$186,$B25,Jumat!$A$7:$A$186,"&gt;="&amp;DATE(2026,11,9),Jumat!$A$7:$A$186,"&lt;="&amp;DATE(2026,11,15))</f>
        <v>0</v>
      </c>
      <c r="V25" s="45">
        <f>SUMIFS(Senin!$H$7:$H$146,Senin!$C$7:$C$146,$B25,Senin!$A$7:$A$146,"&gt;="&amp;DATE(2026,11,16),Senin!$A$7:$A$146,"&lt;="&amp;DATE(2026,11,22))+SUMIFS(Selasa!$H$7:$H$166,Selasa!$C$7:$C$166,$B25,Selasa!$A$7:$A$166,"&gt;="&amp;DATE(2026,11,16),Selasa!$A$7:$A$166,"&lt;="&amp;DATE(2026,11,22))+SUMIFS(Rabu!$H$7:$H$206,Rabu!$C$7:$C$206,$B25,Rabu!$A$7:$A$206,"&gt;="&amp;DATE(2026,11,16),Rabu!$A$7:$A$206,"&lt;="&amp;DATE(2026,11,22))+SUMIFS(Kamis!$H$7:$H$186,Kamis!$C$7:$C$186,$B25,Kamis!$A$7:$A$186,"&gt;="&amp;DATE(2026,11,16),Kamis!$A$7:$A$186,"&lt;="&amp;DATE(2026,11,22))+SUMIFS(Jumat!$H$7:$H$186,Jumat!$C$7:$C$186,$B25,Jumat!$A$7:$A$186,"&gt;="&amp;DATE(2026,11,16),Jumat!$A$7:$A$186,"&lt;="&amp;DATE(2026,11,22))</f>
        <v>0</v>
      </c>
      <c r="W25" s="45">
        <f>SUMIFS(Senin!$H$7:$H$146,Senin!$C$7:$C$146,$B25,Senin!$A$7:$A$146,"&gt;="&amp;DATE(2026,11,23),Senin!$A$7:$A$146,"&lt;="&amp;DATE(2026,11,29))+SUMIFS(Selasa!$H$7:$H$166,Selasa!$C$7:$C$166,$B25,Selasa!$A$7:$A$166,"&gt;="&amp;DATE(2026,11,23),Selasa!$A$7:$A$166,"&lt;="&amp;DATE(2026,11,29))+SUMIFS(Rabu!$H$7:$H$206,Rabu!$C$7:$C$206,$B25,Rabu!$A$7:$A$206,"&gt;="&amp;DATE(2026,11,23),Rabu!$A$7:$A$206,"&lt;="&amp;DATE(2026,11,29))+SUMIFS(Kamis!$H$7:$H$186,Kamis!$C$7:$C$186,$B25,Kamis!$A$7:$A$186,"&gt;="&amp;DATE(2026,11,23),Kamis!$A$7:$A$186,"&lt;="&amp;DATE(2026,11,29))+SUMIFS(Jumat!$H$7:$H$186,Jumat!$C$7:$C$186,$B25,Jumat!$A$7:$A$186,"&gt;="&amp;DATE(2026,11,23),Jumat!$A$7:$A$186,"&lt;="&amp;DATE(2026,11,29))</f>
        <v>0</v>
      </c>
      <c r="X25" s="45">
        <f>SUMIFS(Senin!$H$7:$H$146,Senin!$C$7:$C$146,$B25,Senin!$A$7:$A$146,"&gt;="&amp;DATE(2026,11,30),Senin!$A$7:$A$146,"&lt;="&amp;DATE(2026,12,6))+SUMIFS(Selasa!$H$7:$H$166,Selasa!$C$7:$C$166,$B25,Selasa!$A$7:$A$166,"&gt;="&amp;DATE(2026,11,30),Selasa!$A$7:$A$166,"&lt;="&amp;DATE(2026,12,6))+SUMIFS(Rabu!$H$7:$H$206,Rabu!$C$7:$C$206,$B25,Rabu!$A$7:$A$206,"&gt;="&amp;DATE(2026,11,30),Rabu!$A$7:$A$206,"&lt;="&amp;DATE(2026,12,6))+SUMIFS(Kamis!$H$7:$H$186,Kamis!$C$7:$C$186,$B25,Kamis!$A$7:$A$186,"&gt;="&amp;DATE(2026,11,30),Kamis!$A$7:$A$186,"&lt;="&amp;DATE(2026,12,6))+SUMIFS(Jumat!$H$7:$H$186,Jumat!$C$7:$C$186,$B25,Jumat!$A$7:$A$186,"&gt;="&amp;DATE(2026,11,30),Jumat!$A$7:$A$186,"&lt;="&amp;DATE(2026,12,6))</f>
        <v>0</v>
      </c>
      <c r="Y25" s="45">
        <f>SUMIFS(Senin!$H$7:$H$146,Senin!$C$7:$C$146,$B25,Senin!$A$7:$A$146,"&gt;="&amp;DATE(2026,12,7),Senin!$A$7:$A$146,"&lt;="&amp;DATE(2026,12,13))+SUMIFS(Selasa!$H$7:$H$166,Selasa!$C$7:$C$166,$B25,Selasa!$A$7:$A$166,"&gt;="&amp;DATE(2026,12,7),Selasa!$A$7:$A$166,"&lt;="&amp;DATE(2026,12,13))+SUMIFS(Rabu!$H$7:$H$206,Rabu!$C$7:$C$206,$B25,Rabu!$A$7:$A$206,"&gt;="&amp;DATE(2026,12,7),Rabu!$A$7:$A$206,"&lt;="&amp;DATE(2026,12,13))+SUMIFS(Kamis!$H$7:$H$186,Kamis!$C$7:$C$186,$B25,Kamis!$A$7:$A$186,"&gt;="&amp;DATE(2026,12,7),Kamis!$A$7:$A$186,"&lt;="&amp;DATE(2026,12,13))+SUMIFS(Jumat!$H$7:$H$186,Jumat!$C$7:$C$186,$B25,Jumat!$A$7:$A$186,"&gt;="&amp;DATE(2026,12,7),Jumat!$A$7:$A$186,"&lt;="&amp;DATE(2026,12,13))</f>
        <v>0</v>
      </c>
      <c r="Z25" s="45">
        <f>SUMIFS(Senin!$H$7:$H$146,Senin!$C$7:$C$146,$B25,Senin!$A$7:$A$146,"&gt;="&amp;DATE(2026,12,14),Senin!$A$7:$A$146,"&lt;="&amp;DATE(2026,12,20))+SUMIFS(Selasa!$H$7:$H$166,Selasa!$C$7:$C$166,$B25,Selasa!$A$7:$A$166,"&gt;="&amp;DATE(2026,12,14),Selasa!$A$7:$A$166,"&lt;="&amp;DATE(2026,12,20))+SUMIFS(Rabu!$H$7:$H$206,Rabu!$C$7:$C$206,$B25,Rabu!$A$7:$A$206,"&gt;="&amp;DATE(2026,12,14),Rabu!$A$7:$A$206,"&lt;="&amp;DATE(2026,12,20))+SUMIFS(Kamis!$H$7:$H$186,Kamis!$C$7:$C$186,$B25,Kamis!$A$7:$A$186,"&gt;="&amp;DATE(2026,12,14),Kamis!$A$7:$A$186,"&lt;="&amp;DATE(2026,12,20))+SUMIFS(Jumat!$H$7:$H$186,Jumat!$C$7:$C$186,$B25,Jumat!$A$7:$A$186,"&gt;="&amp;DATE(2026,12,14),Jumat!$A$7:$A$186,"&lt;="&amp;DATE(2026,12,20))</f>
        <v>0</v>
      </c>
      <c r="AA25" s="45">
        <f>SUMIFS(Senin!$H$7:$H$146,Senin!$C$7:$C$146,$B25,Senin!$A$7:$A$146,"&gt;="&amp;DATE(2026,12,21),Senin!$A$7:$A$146,"&lt;="&amp;DATE(2026,12,27))+SUMIFS(Selasa!$H$7:$H$166,Selasa!$C$7:$C$166,$B25,Selasa!$A$7:$A$166,"&gt;="&amp;DATE(2026,12,21),Selasa!$A$7:$A$166,"&lt;="&amp;DATE(2026,12,27))+SUMIFS(Rabu!$H$7:$H$206,Rabu!$C$7:$C$206,$B25,Rabu!$A$7:$A$206,"&gt;="&amp;DATE(2026,12,21),Rabu!$A$7:$A$206,"&lt;="&amp;DATE(2026,12,27))+SUMIFS(Kamis!$H$7:$H$186,Kamis!$C$7:$C$186,$B25,Kamis!$A$7:$A$186,"&gt;="&amp;DATE(2026,12,21),Kamis!$A$7:$A$186,"&lt;="&amp;DATE(2026,12,27))+SUMIFS(Jumat!$H$7:$H$186,Jumat!$C$7:$C$186,$B25,Jumat!$A$7:$A$186,"&gt;="&amp;DATE(2026,12,21),Jumat!$A$7:$A$186,"&lt;="&amp;DATE(2026,12,27))</f>
        <v>0</v>
      </c>
      <c r="AB25" s="45">
        <f>SUMIFS(Senin!$H$7:$H$146,Senin!$C$7:$C$146,$B25,Senin!$A$7:$A$146,"&gt;="&amp;DATE(2026,12,28),Senin!$A$7:$A$146,"&lt;="&amp;DATE(2027,1,3))+SUMIFS(Selasa!$H$7:$H$166,Selasa!$C$7:$C$166,$B25,Selasa!$A$7:$A$166,"&gt;="&amp;DATE(2026,12,28),Selasa!$A$7:$A$166,"&lt;="&amp;DATE(2027,1,3))+SUMIFS(Rabu!$H$7:$H$206,Rabu!$C$7:$C$206,$B25,Rabu!$A$7:$A$206,"&gt;="&amp;DATE(2026,12,28),Rabu!$A$7:$A$206,"&lt;="&amp;DATE(2027,1,3))+SUMIFS(Kamis!$H$7:$H$186,Kamis!$C$7:$C$186,$B25,Kamis!$A$7:$A$186,"&gt;="&amp;DATE(2026,12,28),Kamis!$A$7:$A$186,"&lt;="&amp;DATE(2027,1,3))+SUMIFS(Jumat!$H$7:$H$186,Jumat!$C$7:$C$186,$B25,Jumat!$A$7:$A$186,"&gt;="&amp;DATE(2026,12,28),Jumat!$A$7:$A$186,"&lt;="&amp;DATE(2027,1,3))</f>
        <v>0</v>
      </c>
      <c r="AC25" s="45">
        <f>SUMIFS(Senin!$H$7:$H$146,Senin!$C$7:$C$146,$B25,Senin!$A$7:$A$146,"&gt;="&amp;DATE(2027,1,4),Senin!$A$7:$A$146,"&lt;="&amp;DATE(2027,1,10))+SUMIFS(Selasa!$H$7:$H$166,Selasa!$C$7:$C$166,$B25,Selasa!$A$7:$A$166,"&gt;="&amp;DATE(2027,1,4),Selasa!$A$7:$A$166,"&lt;="&amp;DATE(2027,1,10))+SUMIFS(Rabu!$H$7:$H$206,Rabu!$C$7:$C$206,$B25,Rabu!$A$7:$A$206,"&gt;="&amp;DATE(2027,1,4),Rabu!$A$7:$A$206,"&lt;="&amp;DATE(2027,1,10))+SUMIFS(Kamis!$H$7:$H$186,Kamis!$C$7:$C$186,$B25,Kamis!$A$7:$A$186,"&gt;="&amp;DATE(2027,1,4),Kamis!$A$7:$A$186,"&lt;="&amp;DATE(2027,1,10))+SUMIFS(Jumat!$H$7:$H$186,Jumat!$C$7:$C$186,$B25,Jumat!$A$7:$A$186,"&gt;="&amp;DATE(2027,1,4),Jumat!$A$7:$A$186,"&lt;="&amp;DATE(2027,1,10))</f>
        <v>0</v>
      </c>
      <c r="AD25" s="45">
        <f>SUMIFS(Senin!$H$7:$H$146,Senin!$C$7:$C$146,$B25,Senin!$A$7:$A$146,"&gt;="&amp;DATE(2027,1,11),Senin!$A$7:$A$146,"&lt;="&amp;DATE(2027,1,17))+SUMIFS(Selasa!$H$7:$H$166,Selasa!$C$7:$C$166,$B25,Selasa!$A$7:$A$166,"&gt;="&amp;DATE(2027,1,11),Selasa!$A$7:$A$166,"&lt;="&amp;DATE(2027,1,17))+SUMIFS(Rabu!$H$7:$H$206,Rabu!$C$7:$C$206,$B25,Rabu!$A$7:$A$206,"&gt;="&amp;DATE(2027,1,11),Rabu!$A$7:$A$206,"&lt;="&amp;DATE(2027,1,17))+SUMIFS(Kamis!$H$7:$H$186,Kamis!$C$7:$C$186,$B25,Kamis!$A$7:$A$186,"&gt;="&amp;DATE(2027,1,11),Kamis!$A$7:$A$186,"&lt;="&amp;DATE(2027,1,17))+SUMIFS(Jumat!$H$7:$H$186,Jumat!$C$7:$C$186,$B25,Jumat!$A$7:$A$186,"&gt;="&amp;DATE(2027,1,11),Jumat!$A$7:$A$186,"&lt;="&amp;DATE(2027,1,17))</f>
        <v>0</v>
      </c>
    </row>
    <row r="26" ht="15.75" customHeight="1">
      <c r="A26" s="27">
        <v>23.0</v>
      </c>
      <c r="B26" s="61" t="s">
        <v>47</v>
      </c>
      <c r="C26" s="41">
        <f>COUNTIFS(Senin!$C$7:$C$146,$B26,Senin!$G$7:$G$146,"Ya",Senin!$E$7:$E$146,"&lt;&gt;")+COUNTIFS(Selasa!$C$7:$C$166,$B26,Selasa!$G$7:$G$166,"Ya",Selasa!$E$7:$E$166,"&lt;&gt;")+COUNTIFS(Rabu!$C$7:$C$206,$B26,Rabu!$G$7:$G$206,"Ya",Rabu!$E$7:$E$206,"&lt;&gt;")+COUNTIFS(Kamis!$C$7:$C$186,$B26,Kamis!$G$7:$G$186,"Ya",Kamis!$E$7:$E$186,"&lt;&gt;")+COUNTIFS(Jumat!$C$7:$C$186,$B26,Jumat!$G$7:$G$186,"Ya",Jumat!$E$7:$E$186,"&lt;&gt;")</f>
        <v>0</v>
      </c>
      <c r="D26" s="41">
        <f>COUNTIFS(Senin!$C$7:$C$146,$B26,Senin!$G$7:$G$146,"Ya",Senin!$E$7:$E$146,"")+COUNTIFS(Selasa!$C$7:$C$166,$B26,Selasa!$G$7:$G$166,"Ya",Selasa!$E$7:$E$166,"")+COUNTIFS(Rabu!$C$7:$C$206,$B26,Rabu!$G$7:$G$206,"Ya",Rabu!$E$7:$E$206,"")+COUNTIFS(Kamis!$C$7:$C$186,$B26,Kamis!$G$7:$G$186,"Ya",Kamis!$E$7:$E$186,"")+COUNTIFS(Jumat!$C$7:$C$186,$B26,Jumat!$G$7:$G$186,"Ya",Jumat!$E$7:$E$186,"")</f>
        <v>0</v>
      </c>
      <c r="E26" s="45">
        <f>SUMIFS(Senin!$H$7:$H$146,Senin!$C$7:$C$146,$B26,Senin!$A$7:$A$146,"&gt;="&amp;DATE(2026,8,1),Senin!$A$7:$A$146,"&lt;="&amp;DATE(2026,12,31))+SUMIFS(Selasa!$H$7:$H$166,Selasa!$C$7:$C$166,$B26,Selasa!$A$7:$A$166,"&gt;="&amp;DATE(2026,8,1),Selasa!$A$7:$A$166,"&lt;="&amp;DATE(2026,12,31))+SUMIFS(Rabu!$H$7:$H$206,Rabu!$C$7:$C$206,$B26,Rabu!$A$7:$A$206,"&gt;="&amp;DATE(2026,8,1),Rabu!$A$7:$A$206,"&lt;="&amp;DATE(2026,12,31))+SUMIFS(Kamis!$H$7:$H$186,Kamis!$C$7:$C$186,$B26,Kamis!$A$7:$A$186,"&gt;="&amp;DATE(2026,8,1),Kamis!$A$7:$A$186,"&lt;="&amp;DATE(2026,12,31))+SUMIFS(Jumat!$H$7:$H$186,Jumat!$C$7:$C$186,$B26,Jumat!$A$7:$A$186,"&gt;="&amp;DATE(2026,8,1),Jumat!$A$7:$A$186,"&lt;="&amp;DATE(2026,12,31))</f>
        <v>0</v>
      </c>
      <c r="F26" s="45">
        <f>SUMIFS(Senin!$H$7:$H$146,Senin!$C$7:$C$146,$B26,Senin!$A$7:$A$146,"&gt;="&amp;DATE(2026,8,1),Senin!$A$7:$A$146,"&lt;="&amp;DATE(2026,8,31))+SUMIFS(Selasa!$H$7:$H$166,Selasa!$C$7:$C$166,$B26,Selasa!$A$7:$A$166,"&gt;="&amp;DATE(2026,8,1),Selasa!$A$7:$A$166,"&lt;="&amp;DATE(2026,8,31))+SUMIFS(Rabu!$H$7:$H$206,Rabu!$C$7:$C$206,$B26,Rabu!$A$7:$A$206,"&gt;="&amp;DATE(2026,8,1),Rabu!$A$7:$A$206,"&lt;="&amp;DATE(2026,8,31))+SUMIFS(Kamis!$H$7:$H$186,Kamis!$C$7:$C$186,$B26,Kamis!$A$7:$A$186,"&gt;="&amp;DATE(2026,8,1),Kamis!$A$7:$A$186,"&lt;="&amp;DATE(2026,8,31))+SUMIFS(Jumat!$H$7:$H$186,Jumat!$C$7:$C$186,$B26,Jumat!$A$7:$A$186,"&gt;="&amp;DATE(2026,8,1),Jumat!$A$7:$A$186,"&lt;="&amp;DATE(2026,8,31))</f>
        <v>0</v>
      </c>
      <c r="G26" s="45">
        <f>SUMIFS(Senin!$H$7:$H$146,Senin!$C$7:$C$146,$B26,Senin!$A$7:$A$146,"&gt;="&amp;DATE(2026,9,1),Senin!$A$7:$A$146,"&lt;="&amp;DATE(2026,9,30))+SUMIFS(Selasa!$H$7:$H$166,Selasa!$C$7:$C$166,$B26,Selasa!$A$7:$A$166,"&gt;="&amp;DATE(2026,9,1),Selasa!$A$7:$A$166,"&lt;="&amp;DATE(2026,9,30))+SUMIFS(Rabu!$H$7:$H$206,Rabu!$C$7:$C$206,$B26,Rabu!$A$7:$A$206,"&gt;="&amp;DATE(2026,9,1),Rabu!$A$7:$A$206,"&lt;="&amp;DATE(2026,9,30))+SUMIFS(Kamis!$H$7:$H$186,Kamis!$C$7:$C$186,$B26,Kamis!$A$7:$A$186,"&gt;="&amp;DATE(2026,9,1),Kamis!$A$7:$A$186,"&lt;="&amp;DATE(2026,9,30))+SUMIFS(Jumat!$H$7:$H$186,Jumat!$C$7:$C$186,$B26,Jumat!$A$7:$A$186,"&gt;="&amp;DATE(2026,9,1),Jumat!$A$7:$A$186,"&lt;="&amp;DATE(2026,9,30))</f>
        <v>0</v>
      </c>
      <c r="H26" s="45">
        <f>SUMIFS(Senin!$H$7:$H$146,Senin!$C$7:$C$146,$B26,Senin!$A$7:$A$146,"&gt;="&amp;DATE(2026,10,1),Senin!$A$7:$A$146,"&lt;="&amp;DATE(2026,10,31))+SUMIFS(Selasa!$H$7:$H$166,Selasa!$C$7:$C$166,$B26,Selasa!$A$7:$A$166,"&gt;="&amp;DATE(2026,10,1),Selasa!$A$7:$A$166,"&lt;="&amp;DATE(2026,10,31))+SUMIFS(Rabu!$H$7:$H$206,Rabu!$C$7:$C$206,$B26,Rabu!$A$7:$A$206,"&gt;="&amp;DATE(2026,10,1),Rabu!$A$7:$A$206,"&lt;="&amp;DATE(2026,10,31))+SUMIFS(Kamis!$H$7:$H$186,Kamis!$C$7:$C$186,$B26,Kamis!$A$7:$A$186,"&gt;="&amp;DATE(2026,10,1),Kamis!$A$7:$A$186,"&lt;="&amp;DATE(2026,10,31))+SUMIFS(Jumat!$H$7:$H$186,Jumat!$C$7:$C$186,$B26,Jumat!$A$7:$A$186,"&gt;="&amp;DATE(2026,10,1),Jumat!$A$7:$A$186,"&lt;="&amp;DATE(2026,10,31))</f>
        <v>0</v>
      </c>
      <c r="I26" s="45">
        <f>SUMIFS(Senin!$H$7:$H$146,Senin!$C$7:$C$146,$B26,Senin!$A$7:$A$146,"&gt;="&amp;DATE(2026,11,1),Senin!$A$7:$A$146,"&lt;="&amp;DATE(2026,11,30))+SUMIFS(Selasa!$H$7:$H$166,Selasa!$C$7:$C$166,$B26,Selasa!$A$7:$A$166,"&gt;="&amp;DATE(2026,11,1),Selasa!$A$7:$A$166,"&lt;="&amp;DATE(2026,11,30))+SUMIFS(Rabu!$H$7:$H$206,Rabu!$C$7:$C$206,$B26,Rabu!$A$7:$A$206,"&gt;="&amp;DATE(2026,11,1),Rabu!$A$7:$A$206,"&lt;="&amp;DATE(2026,11,30))+SUMIFS(Kamis!$H$7:$H$186,Kamis!$C$7:$C$186,$B26,Kamis!$A$7:$A$186,"&gt;="&amp;DATE(2026,11,1),Kamis!$A$7:$A$186,"&lt;="&amp;DATE(2026,11,30))+SUMIFS(Jumat!$H$7:$H$186,Jumat!$C$7:$C$186,$B26,Jumat!$A$7:$A$186,"&gt;="&amp;DATE(2026,11,1),Jumat!$A$7:$A$186,"&lt;="&amp;DATE(2026,11,30))</f>
        <v>0</v>
      </c>
      <c r="J26" s="45">
        <f>SUMIFS(Senin!$H$7:$H$146,Senin!$C$7:$C$146,$B26,Senin!$A$7:$A$146,"&gt;="&amp;DATE(2026,12,1),Senin!$A$7:$A$146,"&lt;="&amp;DATE(2026,12,31))+SUMIFS(Selasa!$H$7:$H$166,Selasa!$C$7:$C$166,$B26,Selasa!$A$7:$A$166,"&gt;="&amp;DATE(2026,12,1),Selasa!$A$7:$A$166,"&lt;="&amp;DATE(2026,12,31))+SUMIFS(Rabu!$H$7:$H$206,Rabu!$C$7:$C$206,$B26,Rabu!$A$7:$A$206,"&gt;="&amp;DATE(2026,12,1),Rabu!$A$7:$A$206,"&lt;="&amp;DATE(2026,12,31))+SUMIFS(Kamis!$H$7:$H$186,Kamis!$C$7:$C$186,$B26,Kamis!$A$7:$A$186,"&gt;="&amp;DATE(2026,12,1),Kamis!$A$7:$A$186,"&lt;="&amp;DATE(2026,12,31))+SUMIFS(Jumat!$H$7:$H$186,Jumat!$C$7:$C$186,$B26,Jumat!$A$7:$A$186,"&gt;="&amp;DATE(2026,12,1),Jumat!$A$7:$A$186,"&lt;="&amp;DATE(2026,12,31))</f>
        <v>0</v>
      </c>
      <c r="K26" s="45">
        <f>SUMIFS(Senin!$H$7:$H$146,Senin!$C$7:$C$146,$B26,Senin!$A$7:$A$146,"&gt;="&amp;DATE(2026,8,31),Senin!$A$7:$A$146,"&lt;="&amp;DATE(2026,9,6))+SUMIFS(Selasa!$H$7:$H$166,Selasa!$C$7:$C$166,$B26,Selasa!$A$7:$A$166,"&gt;="&amp;DATE(2026,8,31),Selasa!$A$7:$A$166,"&lt;="&amp;DATE(2026,9,6))+SUMIFS(Rabu!$H$7:$H$206,Rabu!$C$7:$C$206,$B26,Rabu!$A$7:$A$206,"&gt;="&amp;DATE(2026,8,31),Rabu!$A$7:$A$206,"&lt;="&amp;DATE(2026,9,6))+SUMIFS(Kamis!$H$7:$H$186,Kamis!$C$7:$C$186,$B26,Kamis!$A$7:$A$186,"&gt;="&amp;DATE(2026,8,31),Kamis!$A$7:$A$186,"&lt;="&amp;DATE(2026,9,6))+SUMIFS(Jumat!$H$7:$H$186,Jumat!$C$7:$C$186,$B26,Jumat!$A$7:$A$186,"&gt;="&amp;DATE(2026,8,31),Jumat!$A$7:$A$186,"&lt;="&amp;DATE(2026,9,6))</f>
        <v>0</v>
      </c>
      <c r="L26" s="45">
        <f>SUMIFS(Senin!$H$7:$H$146,Senin!$C$7:$C$146,$B26,Senin!$A$7:$A$146,"&gt;="&amp;DATE(2026,9,7),Senin!$A$7:$A$146,"&lt;="&amp;DATE(2026,9,13))+SUMIFS(Selasa!$H$7:$H$166,Selasa!$C$7:$C$166,$B26,Selasa!$A$7:$A$166,"&gt;="&amp;DATE(2026,9,7),Selasa!$A$7:$A$166,"&lt;="&amp;DATE(2026,9,13))+SUMIFS(Rabu!$H$7:$H$206,Rabu!$C$7:$C$206,$B26,Rabu!$A$7:$A$206,"&gt;="&amp;DATE(2026,9,7),Rabu!$A$7:$A$206,"&lt;="&amp;DATE(2026,9,13))+SUMIFS(Kamis!$H$7:$H$186,Kamis!$C$7:$C$186,$B26,Kamis!$A$7:$A$186,"&gt;="&amp;DATE(2026,9,7),Kamis!$A$7:$A$186,"&lt;="&amp;DATE(2026,9,13))+SUMIFS(Jumat!$H$7:$H$186,Jumat!$C$7:$C$186,$B26,Jumat!$A$7:$A$186,"&gt;="&amp;DATE(2026,9,7),Jumat!$A$7:$A$186,"&lt;="&amp;DATE(2026,9,13))</f>
        <v>0</v>
      </c>
      <c r="M26" s="45">
        <f>SUMIFS(Senin!$H$7:$H$146,Senin!$C$7:$C$146,$B26,Senin!$A$7:$A$146,"&gt;="&amp;DATE(2026,9,14),Senin!$A$7:$A$146,"&lt;="&amp;DATE(2026,9,20))+SUMIFS(Selasa!$H$7:$H$166,Selasa!$C$7:$C$166,$B26,Selasa!$A$7:$A$166,"&gt;="&amp;DATE(2026,9,14),Selasa!$A$7:$A$166,"&lt;="&amp;DATE(2026,9,20))+SUMIFS(Rabu!$H$7:$H$206,Rabu!$C$7:$C$206,$B26,Rabu!$A$7:$A$206,"&gt;="&amp;DATE(2026,9,14),Rabu!$A$7:$A$206,"&lt;="&amp;DATE(2026,9,20))+SUMIFS(Kamis!$H$7:$H$186,Kamis!$C$7:$C$186,$B26,Kamis!$A$7:$A$186,"&gt;="&amp;DATE(2026,9,14),Kamis!$A$7:$A$186,"&lt;="&amp;DATE(2026,9,20))+SUMIFS(Jumat!$H$7:$H$186,Jumat!$C$7:$C$186,$B26,Jumat!$A$7:$A$186,"&gt;="&amp;DATE(2026,9,14),Jumat!$A$7:$A$186,"&lt;="&amp;DATE(2026,9,20))</f>
        <v>0</v>
      </c>
      <c r="N26" s="45">
        <f>SUMIFS(Senin!$H$7:$H$146,Senin!$C$7:$C$146,$B26,Senin!$A$7:$A$146,"&gt;="&amp;DATE(2026,9,21),Senin!$A$7:$A$146,"&lt;="&amp;DATE(2026,9,27))+SUMIFS(Selasa!$H$7:$H$166,Selasa!$C$7:$C$166,$B26,Selasa!$A$7:$A$166,"&gt;="&amp;DATE(2026,9,21),Selasa!$A$7:$A$166,"&lt;="&amp;DATE(2026,9,27))+SUMIFS(Rabu!$H$7:$H$206,Rabu!$C$7:$C$206,$B26,Rabu!$A$7:$A$206,"&gt;="&amp;DATE(2026,9,21),Rabu!$A$7:$A$206,"&lt;="&amp;DATE(2026,9,27))+SUMIFS(Kamis!$H$7:$H$186,Kamis!$C$7:$C$186,$B26,Kamis!$A$7:$A$186,"&gt;="&amp;DATE(2026,9,21),Kamis!$A$7:$A$186,"&lt;="&amp;DATE(2026,9,27))+SUMIFS(Jumat!$H$7:$H$186,Jumat!$C$7:$C$186,$B26,Jumat!$A$7:$A$186,"&gt;="&amp;DATE(2026,9,21),Jumat!$A$7:$A$186,"&lt;="&amp;DATE(2026,9,27))</f>
        <v>0</v>
      </c>
      <c r="O26" s="45">
        <f>SUMIFS(Senin!$H$7:$H$146,Senin!$C$7:$C$146,$B26,Senin!$A$7:$A$146,"&gt;="&amp;DATE(2026,9,28),Senin!$A$7:$A$146,"&lt;="&amp;DATE(2026,10,4))+SUMIFS(Selasa!$H$7:$H$166,Selasa!$C$7:$C$166,$B26,Selasa!$A$7:$A$166,"&gt;="&amp;DATE(2026,9,28),Selasa!$A$7:$A$166,"&lt;="&amp;DATE(2026,10,4))+SUMIFS(Rabu!$H$7:$H$206,Rabu!$C$7:$C$206,$B26,Rabu!$A$7:$A$206,"&gt;="&amp;DATE(2026,9,28),Rabu!$A$7:$A$206,"&lt;="&amp;DATE(2026,10,4))+SUMIFS(Kamis!$H$7:$H$186,Kamis!$C$7:$C$186,$B26,Kamis!$A$7:$A$186,"&gt;="&amp;DATE(2026,9,28),Kamis!$A$7:$A$186,"&lt;="&amp;DATE(2026,10,4))+SUMIFS(Jumat!$H$7:$H$186,Jumat!$C$7:$C$186,$B26,Jumat!$A$7:$A$186,"&gt;="&amp;DATE(2026,9,28),Jumat!$A$7:$A$186,"&lt;="&amp;DATE(2026,10,4))</f>
        <v>0</v>
      </c>
      <c r="P26" s="45">
        <f>SUMIFS(Senin!$H$7:$H$146,Senin!$C$7:$C$146,$B26,Senin!$A$7:$A$146,"&gt;="&amp;DATE(2026,10,5),Senin!$A$7:$A$146,"&lt;="&amp;DATE(2026,10,11))+SUMIFS(Selasa!$H$7:$H$166,Selasa!$C$7:$C$166,$B26,Selasa!$A$7:$A$166,"&gt;="&amp;DATE(2026,10,5),Selasa!$A$7:$A$166,"&lt;="&amp;DATE(2026,10,11))+SUMIFS(Rabu!$H$7:$H$206,Rabu!$C$7:$C$206,$B26,Rabu!$A$7:$A$206,"&gt;="&amp;DATE(2026,10,5),Rabu!$A$7:$A$206,"&lt;="&amp;DATE(2026,10,11))+SUMIFS(Kamis!$H$7:$H$186,Kamis!$C$7:$C$186,$B26,Kamis!$A$7:$A$186,"&gt;="&amp;DATE(2026,10,5),Kamis!$A$7:$A$186,"&lt;="&amp;DATE(2026,10,11))+SUMIFS(Jumat!$H$7:$H$186,Jumat!$C$7:$C$186,$B26,Jumat!$A$7:$A$186,"&gt;="&amp;DATE(2026,10,5),Jumat!$A$7:$A$186,"&lt;="&amp;DATE(2026,10,11))</f>
        <v>0</v>
      </c>
      <c r="Q26" s="45">
        <f>SUMIFS(Senin!$H$7:$H$146,Senin!$C$7:$C$146,$B26,Senin!$A$7:$A$146,"&gt;="&amp;DATE(2026,10,12),Senin!$A$7:$A$146,"&lt;="&amp;DATE(2026,10,18))+SUMIFS(Selasa!$H$7:$H$166,Selasa!$C$7:$C$166,$B26,Selasa!$A$7:$A$166,"&gt;="&amp;DATE(2026,10,12),Selasa!$A$7:$A$166,"&lt;="&amp;DATE(2026,10,18))+SUMIFS(Rabu!$H$7:$H$206,Rabu!$C$7:$C$206,$B26,Rabu!$A$7:$A$206,"&gt;="&amp;DATE(2026,10,12),Rabu!$A$7:$A$206,"&lt;="&amp;DATE(2026,10,18))+SUMIFS(Kamis!$H$7:$H$186,Kamis!$C$7:$C$186,$B26,Kamis!$A$7:$A$186,"&gt;="&amp;DATE(2026,10,12),Kamis!$A$7:$A$186,"&lt;="&amp;DATE(2026,10,18))+SUMIFS(Jumat!$H$7:$H$186,Jumat!$C$7:$C$186,$B26,Jumat!$A$7:$A$186,"&gt;="&amp;DATE(2026,10,12),Jumat!$A$7:$A$186,"&lt;="&amp;DATE(2026,10,18))</f>
        <v>0</v>
      </c>
      <c r="R26" s="45">
        <f>SUMIFS(Senin!$H$7:$H$146,Senin!$C$7:$C$146,$B26,Senin!$A$7:$A$146,"&gt;="&amp;DATE(2026,10,19),Senin!$A$7:$A$146,"&lt;="&amp;DATE(2026,10,25))+SUMIFS(Selasa!$H$7:$H$166,Selasa!$C$7:$C$166,$B26,Selasa!$A$7:$A$166,"&gt;="&amp;DATE(2026,10,19),Selasa!$A$7:$A$166,"&lt;="&amp;DATE(2026,10,25))+SUMIFS(Rabu!$H$7:$H$206,Rabu!$C$7:$C$206,$B26,Rabu!$A$7:$A$206,"&gt;="&amp;DATE(2026,10,19),Rabu!$A$7:$A$206,"&lt;="&amp;DATE(2026,10,25))+SUMIFS(Kamis!$H$7:$H$186,Kamis!$C$7:$C$186,$B26,Kamis!$A$7:$A$186,"&gt;="&amp;DATE(2026,10,19),Kamis!$A$7:$A$186,"&lt;="&amp;DATE(2026,10,25))+SUMIFS(Jumat!$H$7:$H$186,Jumat!$C$7:$C$186,$B26,Jumat!$A$7:$A$186,"&gt;="&amp;DATE(2026,10,19),Jumat!$A$7:$A$186,"&lt;="&amp;DATE(2026,10,25))</f>
        <v>0</v>
      </c>
      <c r="S26" s="45">
        <f>SUMIFS(Senin!$H$7:$H$146,Senin!$C$7:$C$146,$B26,Senin!$A$7:$A$146,"&gt;="&amp;DATE(2026,10,26),Senin!$A$7:$A$146,"&lt;="&amp;DATE(2026,11,1))+SUMIFS(Selasa!$H$7:$H$166,Selasa!$C$7:$C$166,$B26,Selasa!$A$7:$A$166,"&gt;="&amp;DATE(2026,10,26),Selasa!$A$7:$A$166,"&lt;="&amp;DATE(2026,11,1))+SUMIFS(Rabu!$H$7:$H$206,Rabu!$C$7:$C$206,$B26,Rabu!$A$7:$A$206,"&gt;="&amp;DATE(2026,10,26),Rabu!$A$7:$A$206,"&lt;="&amp;DATE(2026,11,1))+SUMIFS(Kamis!$H$7:$H$186,Kamis!$C$7:$C$186,$B26,Kamis!$A$7:$A$186,"&gt;="&amp;DATE(2026,10,26),Kamis!$A$7:$A$186,"&lt;="&amp;DATE(2026,11,1))+SUMIFS(Jumat!$H$7:$H$186,Jumat!$C$7:$C$186,$B26,Jumat!$A$7:$A$186,"&gt;="&amp;DATE(2026,10,26),Jumat!$A$7:$A$186,"&lt;="&amp;DATE(2026,11,1))</f>
        <v>0</v>
      </c>
      <c r="T26" s="45">
        <f>SUMIFS(Senin!$H$7:$H$146,Senin!$C$7:$C$146,$B26,Senin!$A$7:$A$146,"&gt;="&amp;DATE(2026,11,2),Senin!$A$7:$A$146,"&lt;="&amp;DATE(2026,11,8))+SUMIFS(Selasa!$H$7:$H$166,Selasa!$C$7:$C$166,$B26,Selasa!$A$7:$A$166,"&gt;="&amp;DATE(2026,11,2),Selasa!$A$7:$A$166,"&lt;="&amp;DATE(2026,11,8))+SUMIFS(Rabu!$H$7:$H$206,Rabu!$C$7:$C$206,$B26,Rabu!$A$7:$A$206,"&gt;="&amp;DATE(2026,11,2),Rabu!$A$7:$A$206,"&lt;="&amp;DATE(2026,11,8))+SUMIFS(Kamis!$H$7:$H$186,Kamis!$C$7:$C$186,$B26,Kamis!$A$7:$A$186,"&gt;="&amp;DATE(2026,11,2),Kamis!$A$7:$A$186,"&lt;="&amp;DATE(2026,11,8))+SUMIFS(Jumat!$H$7:$H$186,Jumat!$C$7:$C$186,$B26,Jumat!$A$7:$A$186,"&gt;="&amp;DATE(2026,11,2),Jumat!$A$7:$A$186,"&lt;="&amp;DATE(2026,11,8))</f>
        <v>0</v>
      </c>
      <c r="U26" s="45">
        <f>SUMIFS(Senin!$H$7:$H$146,Senin!$C$7:$C$146,$B26,Senin!$A$7:$A$146,"&gt;="&amp;DATE(2026,11,9),Senin!$A$7:$A$146,"&lt;="&amp;DATE(2026,11,15))+SUMIFS(Selasa!$H$7:$H$166,Selasa!$C$7:$C$166,$B26,Selasa!$A$7:$A$166,"&gt;="&amp;DATE(2026,11,9),Selasa!$A$7:$A$166,"&lt;="&amp;DATE(2026,11,15))+SUMIFS(Rabu!$H$7:$H$206,Rabu!$C$7:$C$206,$B26,Rabu!$A$7:$A$206,"&gt;="&amp;DATE(2026,11,9),Rabu!$A$7:$A$206,"&lt;="&amp;DATE(2026,11,15))+SUMIFS(Kamis!$H$7:$H$186,Kamis!$C$7:$C$186,$B26,Kamis!$A$7:$A$186,"&gt;="&amp;DATE(2026,11,9),Kamis!$A$7:$A$186,"&lt;="&amp;DATE(2026,11,15))+SUMIFS(Jumat!$H$7:$H$186,Jumat!$C$7:$C$186,$B26,Jumat!$A$7:$A$186,"&gt;="&amp;DATE(2026,11,9),Jumat!$A$7:$A$186,"&lt;="&amp;DATE(2026,11,15))</f>
        <v>0</v>
      </c>
      <c r="V26" s="45">
        <f>SUMIFS(Senin!$H$7:$H$146,Senin!$C$7:$C$146,$B26,Senin!$A$7:$A$146,"&gt;="&amp;DATE(2026,11,16),Senin!$A$7:$A$146,"&lt;="&amp;DATE(2026,11,22))+SUMIFS(Selasa!$H$7:$H$166,Selasa!$C$7:$C$166,$B26,Selasa!$A$7:$A$166,"&gt;="&amp;DATE(2026,11,16),Selasa!$A$7:$A$166,"&lt;="&amp;DATE(2026,11,22))+SUMIFS(Rabu!$H$7:$H$206,Rabu!$C$7:$C$206,$B26,Rabu!$A$7:$A$206,"&gt;="&amp;DATE(2026,11,16),Rabu!$A$7:$A$206,"&lt;="&amp;DATE(2026,11,22))+SUMIFS(Kamis!$H$7:$H$186,Kamis!$C$7:$C$186,$B26,Kamis!$A$7:$A$186,"&gt;="&amp;DATE(2026,11,16),Kamis!$A$7:$A$186,"&lt;="&amp;DATE(2026,11,22))+SUMIFS(Jumat!$H$7:$H$186,Jumat!$C$7:$C$186,$B26,Jumat!$A$7:$A$186,"&gt;="&amp;DATE(2026,11,16),Jumat!$A$7:$A$186,"&lt;="&amp;DATE(2026,11,22))</f>
        <v>0</v>
      </c>
      <c r="W26" s="45">
        <f>SUMIFS(Senin!$H$7:$H$146,Senin!$C$7:$C$146,$B26,Senin!$A$7:$A$146,"&gt;="&amp;DATE(2026,11,23),Senin!$A$7:$A$146,"&lt;="&amp;DATE(2026,11,29))+SUMIFS(Selasa!$H$7:$H$166,Selasa!$C$7:$C$166,$B26,Selasa!$A$7:$A$166,"&gt;="&amp;DATE(2026,11,23),Selasa!$A$7:$A$166,"&lt;="&amp;DATE(2026,11,29))+SUMIFS(Rabu!$H$7:$H$206,Rabu!$C$7:$C$206,$B26,Rabu!$A$7:$A$206,"&gt;="&amp;DATE(2026,11,23),Rabu!$A$7:$A$206,"&lt;="&amp;DATE(2026,11,29))+SUMIFS(Kamis!$H$7:$H$186,Kamis!$C$7:$C$186,$B26,Kamis!$A$7:$A$186,"&gt;="&amp;DATE(2026,11,23),Kamis!$A$7:$A$186,"&lt;="&amp;DATE(2026,11,29))+SUMIFS(Jumat!$H$7:$H$186,Jumat!$C$7:$C$186,$B26,Jumat!$A$7:$A$186,"&gt;="&amp;DATE(2026,11,23),Jumat!$A$7:$A$186,"&lt;="&amp;DATE(2026,11,29))</f>
        <v>0</v>
      </c>
      <c r="X26" s="45">
        <f>SUMIFS(Senin!$H$7:$H$146,Senin!$C$7:$C$146,$B26,Senin!$A$7:$A$146,"&gt;="&amp;DATE(2026,11,30),Senin!$A$7:$A$146,"&lt;="&amp;DATE(2026,12,6))+SUMIFS(Selasa!$H$7:$H$166,Selasa!$C$7:$C$166,$B26,Selasa!$A$7:$A$166,"&gt;="&amp;DATE(2026,11,30),Selasa!$A$7:$A$166,"&lt;="&amp;DATE(2026,12,6))+SUMIFS(Rabu!$H$7:$H$206,Rabu!$C$7:$C$206,$B26,Rabu!$A$7:$A$206,"&gt;="&amp;DATE(2026,11,30),Rabu!$A$7:$A$206,"&lt;="&amp;DATE(2026,12,6))+SUMIFS(Kamis!$H$7:$H$186,Kamis!$C$7:$C$186,$B26,Kamis!$A$7:$A$186,"&gt;="&amp;DATE(2026,11,30),Kamis!$A$7:$A$186,"&lt;="&amp;DATE(2026,12,6))+SUMIFS(Jumat!$H$7:$H$186,Jumat!$C$7:$C$186,$B26,Jumat!$A$7:$A$186,"&gt;="&amp;DATE(2026,11,30),Jumat!$A$7:$A$186,"&lt;="&amp;DATE(2026,12,6))</f>
        <v>0</v>
      </c>
      <c r="Y26" s="45">
        <f>SUMIFS(Senin!$H$7:$H$146,Senin!$C$7:$C$146,$B26,Senin!$A$7:$A$146,"&gt;="&amp;DATE(2026,12,7),Senin!$A$7:$A$146,"&lt;="&amp;DATE(2026,12,13))+SUMIFS(Selasa!$H$7:$H$166,Selasa!$C$7:$C$166,$B26,Selasa!$A$7:$A$166,"&gt;="&amp;DATE(2026,12,7),Selasa!$A$7:$A$166,"&lt;="&amp;DATE(2026,12,13))+SUMIFS(Rabu!$H$7:$H$206,Rabu!$C$7:$C$206,$B26,Rabu!$A$7:$A$206,"&gt;="&amp;DATE(2026,12,7),Rabu!$A$7:$A$206,"&lt;="&amp;DATE(2026,12,13))+SUMIFS(Kamis!$H$7:$H$186,Kamis!$C$7:$C$186,$B26,Kamis!$A$7:$A$186,"&gt;="&amp;DATE(2026,12,7),Kamis!$A$7:$A$186,"&lt;="&amp;DATE(2026,12,13))+SUMIFS(Jumat!$H$7:$H$186,Jumat!$C$7:$C$186,$B26,Jumat!$A$7:$A$186,"&gt;="&amp;DATE(2026,12,7),Jumat!$A$7:$A$186,"&lt;="&amp;DATE(2026,12,13))</f>
        <v>0</v>
      </c>
      <c r="Z26" s="45">
        <f>SUMIFS(Senin!$H$7:$H$146,Senin!$C$7:$C$146,$B26,Senin!$A$7:$A$146,"&gt;="&amp;DATE(2026,12,14),Senin!$A$7:$A$146,"&lt;="&amp;DATE(2026,12,20))+SUMIFS(Selasa!$H$7:$H$166,Selasa!$C$7:$C$166,$B26,Selasa!$A$7:$A$166,"&gt;="&amp;DATE(2026,12,14),Selasa!$A$7:$A$166,"&lt;="&amp;DATE(2026,12,20))+SUMIFS(Rabu!$H$7:$H$206,Rabu!$C$7:$C$206,$B26,Rabu!$A$7:$A$206,"&gt;="&amp;DATE(2026,12,14),Rabu!$A$7:$A$206,"&lt;="&amp;DATE(2026,12,20))+SUMIFS(Kamis!$H$7:$H$186,Kamis!$C$7:$C$186,$B26,Kamis!$A$7:$A$186,"&gt;="&amp;DATE(2026,12,14),Kamis!$A$7:$A$186,"&lt;="&amp;DATE(2026,12,20))+SUMIFS(Jumat!$H$7:$H$186,Jumat!$C$7:$C$186,$B26,Jumat!$A$7:$A$186,"&gt;="&amp;DATE(2026,12,14),Jumat!$A$7:$A$186,"&lt;="&amp;DATE(2026,12,20))</f>
        <v>0</v>
      </c>
      <c r="AA26" s="45">
        <f>SUMIFS(Senin!$H$7:$H$146,Senin!$C$7:$C$146,$B26,Senin!$A$7:$A$146,"&gt;="&amp;DATE(2026,12,21),Senin!$A$7:$A$146,"&lt;="&amp;DATE(2026,12,27))+SUMIFS(Selasa!$H$7:$H$166,Selasa!$C$7:$C$166,$B26,Selasa!$A$7:$A$166,"&gt;="&amp;DATE(2026,12,21),Selasa!$A$7:$A$166,"&lt;="&amp;DATE(2026,12,27))+SUMIFS(Rabu!$H$7:$H$206,Rabu!$C$7:$C$206,$B26,Rabu!$A$7:$A$206,"&gt;="&amp;DATE(2026,12,21),Rabu!$A$7:$A$206,"&lt;="&amp;DATE(2026,12,27))+SUMIFS(Kamis!$H$7:$H$186,Kamis!$C$7:$C$186,$B26,Kamis!$A$7:$A$186,"&gt;="&amp;DATE(2026,12,21),Kamis!$A$7:$A$186,"&lt;="&amp;DATE(2026,12,27))+SUMIFS(Jumat!$H$7:$H$186,Jumat!$C$7:$C$186,$B26,Jumat!$A$7:$A$186,"&gt;="&amp;DATE(2026,12,21),Jumat!$A$7:$A$186,"&lt;="&amp;DATE(2026,12,27))</f>
        <v>0</v>
      </c>
      <c r="AB26" s="45">
        <f>SUMIFS(Senin!$H$7:$H$146,Senin!$C$7:$C$146,$B26,Senin!$A$7:$A$146,"&gt;="&amp;DATE(2026,12,28),Senin!$A$7:$A$146,"&lt;="&amp;DATE(2027,1,3))+SUMIFS(Selasa!$H$7:$H$166,Selasa!$C$7:$C$166,$B26,Selasa!$A$7:$A$166,"&gt;="&amp;DATE(2026,12,28),Selasa!$A$7:$A$166,"&lt;="&amp;DATE(2027,1,3))+SUMIFS(Rabu!$H$7:$H$206,Rabu!$C$7:$C$206,$B26,Rabu!$A$7:$A$206,"&gt;="&amp;DATE(2026,12,28),Rabu!$A$7:$A$206,"&lt;="&amp;DATE(2027,1,3))+SUMIFS(Kamis!$H$7:$H$186,Kamis!$C$7:$C$186,$B26,Kamis!$A$7:$A$186,"&gt;="&amp;DATE(2026,12,28),Kamis!$A$7:$A$186,"&lt;="&amp;DATE(2027,1,3))+SUMIFS(Jumat!$H$7:$H$186,Jumat!$C$7:$C$186,$B26,Jumat!$A$7:$A$186,"&gt;="&amp;DATE(2026,12,28),Jumat!$A$7:$A$186,"&lt;="&amp;DATE(2027,1,3))</f>
        <v>0</v>
      </c>
      <c r="AC26" s="45">
        <f>SUMIFS(Senin!$H$7:$H$146,Senin!$C$7:$C$146,$B26,Senin!$A$7:$A$146,"&gt;="&amp;DATE(2027,1,4),Senin!$A$7:$A$146,"&lt;="&amp;DATE(2027,1,10))+SUMIFS(Selasa!$H$7:$H$166,Selasa!$C$7:$C$166,$B26,Selasa!$A$7:$A$166,"&gt;="&amp;DATE(2027,1,4),Selasa!$A$7:$A$166,"&lt;="&amp;DATE(2027,1,10))+SUMIFS(Rabu!$H$7:$H$206,Rabu!$C$7:$C$206,$B26,Rabu!$A$7:$A$206,"&gt;="&amp;DATE(2027,1,4),Rabu!$A$7:$A$206,"&lt;="&amp;DATE(2027,1,10))+SUMIFS(Kamis!$H$7:$H$186,Kamis!$C$7:$C$186,$B26,Kamis!$A$7:$A$186,"&gt;="&amp;DATE(2027,1,4),Kamis!$A$7:$A$186,"&lt;="&amp;DATE(2027,1,10))+SUMIFS(Jumat!$H$7:$H$186,Jumat!$C$7:$C$186,$B26,Jumat!$A$7:$A$186,"&gt;="&amp;DATE(2027,1,4),Jumat!$A$7:$A$186,"&lt;="&amp;DATE(2027,1,10))</f>
        <v>0</v>
      </c>
      <c r="AD26" s="45">
        <f>SUMIFS(Senin!$H$7:$H$146,Senin!$C$7:$C$146,$B26,Senin!$A$7:$A$146,"&gt;="&amp;DATE(2027,1,11),Senin!$A$7:$A$146,"&lt;="&amp;DATE(2027,1,17))+SUMIFS(Selasa!$H$7:$H$166,Selasa!$C$7:$C$166,$B26,Selasa!$A$7:$A$166,"&gt;="&amp;DATE(2027,1,11),Selasa!$A$7:$A$166,"&lt;="&amp;DATE(2027,1,17))+SUMIFS(Rabu!$H$7:$H$206,Rabu!$C$7:$C$206,$B26,Rabu!$A$7:$A$206,"&gt;="&amp;DATE(2027,1,11),Rabu!$A$7:$A$206,"&lt;="&amp;DATE(2027,1,17))+SUMIFS(Kamis!$H$7:$H$186,Kamis!$C$7:$C$186,$B26,Kamis!$A$7:$A$186,"&gt;="&amp;DATE(2027,1,11),Kamis!$A$7:$A$186,"&lt;="&amp;DATE(2027,1,17))+SUMIFS(Jumat!$H$7:$H$186,Jumat!$C$7:$C$186,$B26,Jumat!$A$7:$A$186,"&gt;="&amp;DATE(2027,1,11),Jumat!$A$7:$A$186,"&lt;="&amp;DATE(2027,1,17))</f>
        <v>0</v>
      </c>
    </row>
    <row r="27" ht="15.75" customHeight="1">
      <c r="A27" s="27">
        <v>24.0</v>
      </c>
      <c r="B27" s="61" t="s">
        <v>18</v>
      </c>
      <c r="C27" s="41">
        <f>COUNTIFS(Senin!$C$7:$C$146,$B27,Senin!$G$7:$G$146,"Ya",Senin!$E$7:$E$146,"&lt;&gt;")+COUNTIFS(Selasa!$C$7:$C$166,$B27,Selasa!$G$7:$G$166,"Ya",Selasa!$E$7:$E$166,"&lt;&gt;")+COUNTIFS(Rabu!$C$7:$C$206,$B27,Rabu!$G$7:$G$206,"Ya",Rabu!$E$7:$E$206,"&lt;&gt;")+COUNTIFS(Kamis!$C$7:$C$186,$B27,Kamis!$G$7:$G$186,"Ya",Kamis!$E$7:$E$186,"&lt;&gt;")+COUNTIFS(Jumat!$C$7:$C$186,$B27,Jumat!$G$7:$G$186,"Ya",Jumat!$E$7:$E$186,"&lt;&gt;")</f>
        <v>0</v>
      </c>
      <c r="D27" s="41">
        <f>COUNTIFS(Senin!$C$7:$C$146,$B27,Senin!$G$7:$G$146,"Ya",Senin!$E$7:$E$146,"")+COUNTIFS(Selasa!$C$7:$C$166,$B27,Selasa!$G$7:$G$166,"Ya",Selasa!$E$7:$E$166,"")+COUNTIFS(Rabu!$C$7:$C$206,$B27,Rabu!$G$7:$G$206,"Ya",Rabu!$E$7:$E$206,"")+COUNTIFS(Kamis!$C$7:$C$186,$B27,Kamis!$G$7:$G$186,"Ya",Kamis!$E$7:$E$186,"")+COUNTIFS(Jumat!$C$7:$C$186,$B27,Jumat!$G$7:$G$186,"Ya",Jumat!$E$7:$E$186,"")</f>
        <v>0</v>
      </c>
      <c r="E27" s="45">
        <f>SUMIFS(Senin!$H$7:$H$146,Senin!$C$7:$C$146,$B27,Senin!$A$7:$A$146,"&gt;="&amp;DATE(2026,8,1),Senin!$A$7:$A$146,"&lt;="&amp;DATE(2026,12,31))+SUMIFS(Selasa!$H$7:$H$166,Selasa!$C$7:$C$166,$B27,Selasa!$A$7:$A$166,"&gt;="&amp;DATE(2026,8,1),Selasa!$A$7:$A$166,"&lt;="&amp;DATE(2026,12,31))+SUMIFS(Rabu!$H$7:$H$206,Rabu!$C$7:$C$206,$B27,Rabu!$A$7:$A$206,"&gt;="&amp;DATE(2026,8,1),Rabu!$A$7:$A$206,"&lt;="&amp;DATE(2026,12,31))+SUMIFS(Kamis!$H$7:$H$186,Kamis!$C$7:$C$186,$B27,Kamis!$A$7:$A$186,"&gt;="&amp;DATE(2026,8,1),Kamis!$A$7:$A$186,"&lt;="&amp;DATE(2026,12,31))+SUMIFS(Jumat!$H$7:$H$186,Jumat!$C$7:$C$186,$B27,Jumat!$A$7:$A$186,"&gt;="&amp;DATE(2026,8,1),Jumat!$A$7:$A$186,"&lt;="&amp;DATE(2026,12,31))</f>
        <v>0</v>
      </c>
      <c r="F27" s="45">
        <f>SUMIFS(Senin!$H$7:$H$146,Senin!$C$7:$C$146,$B27,Senin!$A$7:$A$146,"&gt;="&amp;DATE(2026,8,1),Senin!$A$7:$A$146,"&lt;="&amp;DATE(2026,8,31))+SUMIFS(Selasa!$H$7:$H$166,Selasa!$C$7:$C$166,$B27,Selasa!$A$7:$A$166,"&gt;="&amp;DATE(2026,8,1),Selasa!$A$7:$A$166,"&lt;="&amp;DATE(2026,8,31))+SUMIFS(Rabu!$H$7:$H$206,Rabu!$C$7:$C$206,$B27,Rabu!$A$7:$A$206,"&gt;="&amp;DATE(2026,8,1),Rabu!$A$7:$A$206,"&lt;="&amp;DATE(2026,8,31))+SUMIFS(Kamis!$H$7:$H$186,Kamis!$C$7:$C$186,$B27,Kamis!$A$7:$A$186,"&gt;="&amp;DATE(2026,8,1),Kamis!$A$7:$A$186,"&lt;="&amp;DATE(2026,8,31))+SUMIFS(Jumat!$H$7:$H$186,Jumat!$C$7:$C$186,$B27,Jumat!$A$7:$A$186,"&gt;="&amp;DATE(2026,8,1),Jumat!$A$7:$A$186,"&lt;="&amp;DATE(2026,8,31))</f>
        <v>0</v>
      </c>
      <c r="G27" s="45">
        <f>SUMIFS(Senin!$H$7:$H$146,Senin!$C$7:$C$146,$B27,Senin!$A$7:$A$146,"&gt;="&amp;DATE(2026,9,1),Senin!$A$7:$A$146,"&lt;="&amp;DATE(2026,9,30))+SUMIFS(Selasa!$H$7:$H$166,Selasa!$C$7:$C$166,$B27,Selasa!$A$7:$A$166,"&gt;="&amp;DATE(2026,9,1),Selasa!$A$7:$A$166,"&lt;="&amp;DATE(2026,9,30))+SUMIFS(Rabu!$H$7:$H$206,Rabu!$C$7:$C$206,$B27,Rabu!$A$7:$A$206,"&gt;="&amp;DATE(2026,9,1),Rabu!$A$7:$A$206,"&lt;="&amp;DATE(2026,9,30))+SUMIFS(Kamis!$H$7:$H$186,Kamis!$C$7:$C$186,$B27,Kamis!$A$7:$A$186,"&gt;="&amp;DATE(2026,9,1),Kamis!$A$7:$A$186,"&lt;="&amp;DATE(2026,9,30))+SUMIFS(Jumat!$H$7:$H$186,Jumat!$C$7:$C$186,$B27,Jumat!$A$7:$A$186,"&gt;="&amp;DATE(2026,9,1),Jumat!$A$7:$A$186,"&lt;="&amp;DATE(2026,9,30))</f>
        <v>0</v>
      </c>
      <c r="H27" s="45">
        <f>SUMIFS(Senin!$H$7:$H$146,Senin!$C$7:$C$146,$B27,Senin!$A$7:$A$146,"&gt;="&amp;DATE(2026,10,1),Senin!$A$7:$A$146,"&lt;="&amp;DATE(2026,10,31))+SUMIFS(Selasa!$H$7:$H$166,Selasa!$C$7:$C$166,$B27,Selasa!$A$7:$A$166,"&gt;="&amp;DATE(2026,10,1),Selasa!$A$7:$A$166,"&lt;="&amp;DATE(2026,10,31))+SUMIFS(Rabu!$H$7:$H$206,Rabu!$C$7:$C$206,$B27,Rabu!$A$7:$A$206,"&gt;="&amp;DATE(2026,10,1),Rabu!$A$7:$A$206,"&lt;="&amp;DATE(2026,10,31))+SUMIFS(Kamis!$H$7:$H$186,Kamis!$C$7:$C$186,$B27,Kamis!$A$7:$A$186,"&gt;="&amp;DATE(2026,10,1),Kamis!$A$7:$A$186,"&lt;="&amp;DATE(2026,10,31))+SUMIFS(Jumat!$H$7:$H$186,Jumat!$C$7:$C$186,$B27,Jumat!$A$7:$A$186,"&gt;="&amp;DATE(2026,10,1),Jumat!$A$7:$A$186,"&lt;="&amp;DATE(2026,10,31))</f>
        <v>0</v>
      </c>
      <c r="I27" s="45">
        <f>SUMIFS(Senin!$H$7:$H$146,Senin!$C$7:$C$146,$B27,Senin!$A$7:$A$146,"&gt;="&amp;DATE(2026,11,1),Senin!$A$7:$A$146,"&lt;="&amp;DATE(2026,11,30))+SUMIFS(Selasa!$H$7:$H$166,Selasa!$C$7:$C$166,$B27,Selasa!$A$7:$A$166,"&gt;="&amp;DATE(2026,11,1),Selasa!$A$7:$A$166,"&lt;="&amp;DATE(2026,11,30))+SUMIFS(Rabu!$H$7:$H$206,Rabu!$C$7:$C$206,$B27,Rabu!$A$7:$A$206,"&gt;="&amp;DATE(2026,11,1),Rabu!$A$7:$A$206,"&lt;="&amp;DATE(2026,11,30))+SUMIFS(Kamis!$H$7:$H$186,Kamis!$C$7:$C$186,$B27,Kamis!$A$7:$A$186,"&gt;="&amp;DATE(2026,11,1),Kamis!$A$7:$A$186,"&lt;="&amp;DATE(2026,11,30))+SUMIFS(Jumat!$H$7:$H$186,Jumat!$C$7:$C$186,$B27,Jumat!$A$7:$A$186,"&gt;="&amp;DATE(2026,11,1),Jumat!$A$7:$A$186,"&lt;="&amp;DATE(2026,11,30))</f>
        <v>0</v>
      </c>
      <c r="J27" s="45">
        <f>SUMIFS(Senin!$H$7:$H$146,Senin!$C$7:$C$146,$B27,Senin!$A$7:$A$146,"&gt;="&amp;DATE(2026,12,1),Senin!$A$7:$A$146,"&lt;="&amp;DATE(2026,12,31))+SUMIFS(Selasa!$H$7:$H$166,Selasa!$C$7:$C$166,$B27,Selasa!$A$7:$A$166,"&gt;="&amp;DATE(2026,12,1),Selasa!$A$7:$A$166,"&lt;="&amp;DATE(2026,12,31))+SUMIFS(Rabu!$H$7:$H$206,Rabu!$C$7:$C$206,$B27,Rabu!$A$7:$A$206,"&gt;="&amp;DATE(2026,12,1),Rabu!$A$7:$A$206,"&lt;="&amp;DATE(2026,12,31))+SUMIFS(Kamis!$H$7:$H$186,Kamis!$C$7:$C$186,$B27,Kamis!$A$7:$A$186,"&gt;="&amp;DATE(2026,12,1),Kamis!$A$7:$A$186,"&lt;="&amp;DATE(2026,12,31))+SUMIFS(Jumat!$H$7:$H$186,Jumat!$C$7:$C$186,$B27,Jumat!$A$7:$A$186,"&gt;="&amp;DATE(2026,12,1),Jumat!$A$7:$A$186,"&lt;="&amp;DATE(2026,12,31))</f>
        <v>0</v>
      </c>
      <c r="K27" s="45">
        <f>SUMIFS(Senin!$H$7:$H$146,Senin!$C$7:$C$146,$B27,Senin!$A$7:$A$146,"&gt;="&amp;DATE(2026,8,31),Senin!$A$7:$A$146,"&lt;="&amp;DATE(2026,9,6))+SUMIFS(Selasa!$H$7:$H$166,Selasa!$C$7:$C$166,$B27,Selasa!$A$7:$A$166,"&gt;="&amp;DATE(2026,8,31),Selasa!$A$7:$A$166,"&lt;="&amp;DATE(2026,9,6))+SUMIFS(Rabu!$H$7:$H$206,Rabu!$C$7:$C$206,$B27,Rabu!$A$7:$A$206,"&gt;="&amp;DATE(2026,8,31),Rabu!$A$7:$A$206,"&lt;="&amp;DATE(2026,9,6))+SUMIFS(Kamis!$H$7:$H$186,Kamis!$C$7:$C$186,$B27,Kamis!$A$7:$A$186,"&gt;="&amp;DATE(2026,8,31),Kamis!$A$7:$A$186,"&lt;="&amp;DATE(2026,9,6))+SUMIFS(Jumat!$H$7:$H$186,Jumat!$C$7:$C$186,$B27,Jumat!$A$7:$A$186,"&gt;="&amp;DATE(2026,8,31),Jumat!$A$7:$A$186,"&lt;="&amp;DATE(2026,9,6))</f>
        <v>0</v>
      </c>
      <c r="L27" s="45">
        <f>SUMIFS(Senin!$H$7:$H$146,Senin!$C$7:$C$146,$B27,Senin!$A$7:$A$146,"&gt;="&amp;DATE(2026,9,7),Senin!$A$7:$A$146,"&lt;="&amp;DATE(2026,9,13))+SUMIFS(Selasa!$H$7:$H$166,Selasa!$C$7:$C$166,$B27,Selasa!$A$7:$A$166,"&gt;="&amp;DATE(2026,9,7),Selasa!$A$7:$A$166,"&lt;="&amp;DATE(2026,9,13))+SUMIFS(Rabu!$H$7:$H$206,Rabu!$C$7:$C$206,$B27,Rabu!$A$7:$A$206,"&gt;="&amp;DATE(2026,9,7),Rabu!$A$7:$A$206,"&lt;="&amp;DATE(2026,9,13))+SUMIFS(Kamis!$H$7:$H$186,Kamis!$C$7:$C$186,$B27,Kamis!$A$7:$A$186,"&gt;="&amp;DATE(2026,9,7),Kamis!$A$7:$A$186,"&lt;="&amp;DATE(2026,9,13))+SUMIFS(Jumat!$H$7:$H$186,Jumat!$C$7:$C$186,$B27,Jumat!$A$7:$A$186,"&gt;="&amp;DATE(2026,9,7),Jumat!$A$7:$A$186,"&lt;="&amp;DATE(2026,9,13))</f>
        <v>0</v>
      </c>
      <c r="M27" s="45">
        <f>SUMIFS(Senin!$H$7:$H$146,Senin!$C$7:$C$146,$B27,Senin!$A$7:$A$146,"&gt;="&amp;DATE(2026,9,14),Senin!$A$7:$A$146,"&lt;="&amp;DATE(2026,9,20))+SUMIFS(Selasa!$H$7:$H$166,Selasa!$C$7:$C$166,$B27,Selasa!$A$7:$A$166,"&gt;="&amp;DATE(2026,9,14),Selasa!$A$7:$A$166,"&lt;="&amp;DATE(2026,9,20))+SUMIFS(Rabu!$H$7:$H$206,Rabu!$C$7:$C$206,$B27,Rabu!$A$7:$A$206,"&gt;="&amp;DATE(2026,9,14),Rabu!$A$7:$A$206,"&lt;="&amp;DATE(2026,9,20))+SUMIFS(Kamis!$H$7:$H$186,Kamis!$C$7:$C$186,$B27,Kamis!$A$7:$A$186,"&gt;="&amp;DATE(2026,9,14),Kamis!$A$7:$A$186,"&lt;="&amp;DATE(2026,9,20))+SUMIFS(Jumat!$H$7:$H$186,Jumat!$C$7:$C$186,$B27,Jumat!$A$7:$A$186,"&gt;="&amp;DATE(2026,9,14),Jumat!$A$7:$A$186,"&lt;="&amp;DATE(2026,9,20))</f>
        <v>0</v>
      </c>
      <c r="N27" s="45">
        <f>SUMIFS(Senin!$H$7:$H$146,Senin!$C$7:$C$146,$B27,Senin!$A$7:$A$146,"&gt;="&amp;DATE(2026,9,21),Senin!$A$7:$A$146,"&lt;="&amp;DATE(2026,9,27))+SUMIFS(Selasa!$H$7:$H$166,Selasa!$C$7:$C$166,$B27,Selasa!$A$7:$A$166,"&gt;="&amp;DATE(2026,9,21),Selasa!$A$7:$A$166,"&lt;="&amp;DATE(2026,9,27))+SUMIFS(Rabu!$H$7:$H$206,Rabu!$C$7:$C$206,$B27,Rabu!$A$7:$A$206,"&gt;="&amp;DATE(2026,9,21),Rabu!$A$7:$A$206,"&lt;="&amp;DATE(2026,9,27))+SUMIFS(Kamis!$H$7:$H$186,Kamis!$C$7:$C$186,$B27,Kamis!$A$7:$A$186,"&gt;="&amp;DATE(2026,9,21),Kamis!$A$7:$A$186,"&lt;="&amp;DATE(2026,9,27))+SUMIFS(Jumat!$H$7:$H$186,Jumat!$C$7:$C$186,$B27,Jumat!$A$7:$A$186,"&gt;="&amp;DATE(2026,9,21),Jumat!$A$7:$A$186,"&lt;="&amp;DATE(2026,9,27))</f>
        <v>0</v>
      </c>
      <c r="O27" s="45">
        <f>SUMIFS(Senin!$H$7:$H$146,Senin!$C$7:$C$146,$B27,Senin!$A$7:$A$146,"&gt;="&amp;DATE(2026,9,28),Senin!$A$7:$A$146,"&lt;="&amp;DATE(2026,10,4))+SUMIFS(Selasa!$H$7:$H$166,Selasa!$C$7:$C$166,$B27,Selasa!$A$7:$A$166,"&gt;="&amp;DATE(2026,9,28),Selasa!$A$7:$A$166,"&lt;="&amp;DATE(2026,10,4))+SUMIFS(Rabu!$H$7:$H$206,Rabu!$C$7:$C$206,$B27,Rabu!$A$7:$A$206,"&gt;="&amp;DATE(2026,9,28),Rabu!$A$7:$A$206,"&lt;="&amp;DATE(2026,10,4))+SUMIFS(Kamis!$H$7:$H$186,Kamis!$C$7:$C$186,$B27,Kamis!$A$7:$A$186,"&gt;="&amp;DATE(2026,9,28),Kamis!$A$7:$A$186,"&lt;="&amp;DATE(2026,10,4))+SUMIFS(Jumat!$H$7:$H$186,Jumat!$C$7:$C$186,$B27,Jumat!$A$7:$A$186,"&gt;="&amp;DATE(2026,9,28),Jumat!$A$7:$A$186,"&lt;="&amp;DATE(2026,10,4))</f>
        <v>0</v>
      </c>
      <c r="P27" s="45">
        <f>SUMIFS(Senin!$H$7:$H$146,Senin!$C$7:$C$146,$B27,Senin!$A$7:$A$146,"&gt;="&amp;DATE(2026,10,5),Senin!$A$7:$A$146,"&lt;="&amp;DATE(2026,10,11))+SUMIFS(Selasa!$H$7:$H$166,Selasa!$C$7:$C$166,$B27,Selasa!$A$7:$A$166,"&gt;="&amp;DATE(2026,10,5),Selasa!$A$7:$A$166,"&lt;="&amp;DATE(2026,10,11))+SUMIFS(Rabu!$H$7:$H$206,Rabu!$C$7:$C$206,$B27,Rabu!$A$7:$A$206,"&gt;="&amp;DATE(2026,10,5),Rabu!$A$7:$A$206,"&lt;="&amp;DATE(2026,10,11))+SUMIFS(Kamis!$H$7:$H$186,Kamis!$C$7:$C$186,$B27,Kamis!$A$7:$A$186,"&gt;="&amp;DATE(2026,10,5),Kamis!$A$7:$A$186,"&lt;="&amp;DATE(2026,10,11))+SUMIFS(Jumat!$H$7:$H$186,Jumat!$C$7:$C$186,$B27,Jumat!$A$7:$A$186,"&gt;="&amp;DATE(2026,10,5),Jumat!$A$7:$A$186,"&lt;="&amp;DATE(2026,10,11))</f>
        <v>0</v>
      </c>
      <c r="Q27" s="45">
        <f>SUMIFS(Senin!$H$7:$H$146,Senin!$C$7:$C$146,$B27,Senin!$A$7:$A$146,"&gt;="&amp;DATE(2026,10,12),Senin!$A$7:$A$146,"&lt;="&amp;DATE(2026,10,18))+SUMIFS(Selasa!$H$7:$H$166,Selasa!$C$7:$C$166,$B27,Selasa!$A$7:$A$166,"&gt;="&amp;DATE(2026,10,12),Selasa!$A$7:$A$166,"&lt;="&amp;DATE(2026,10,18))+SUMIFS(Rabu!$H$7:$H$206,Rabu!$C$7:$C$206,$B27,Rabu!$A$7:$A$206,"&gt;="&amp;DATE(2026,10,12),Rabu!$A$7:$A$206,"&lt;="&amp;DATE(2026,10,18))+SUMIFS(Kamis!$H$7:$H$186,Kamis!$C$7:$C$186,$B27,Kamis!$A$7:$A$186,"&gt;="&amp;DATE(2026,10,12),Kamis!$A$7:$A$186,"&lt;="&amp;DATE(2026,10,18))+SUMIFS(Jumat!$H$7:$H$186,Jumat!$C$7:$C$186,$B27,Jumat!$A$7:$A$186,"&gt;="&amp;DATE(2026,10,12),Jumat!$A$7:$A$186,"&lt;="&amp;DATE(2026,10,18))</f>
        <v>0</v>
      </c>
      <c r="R27" s="45">
        <f>SUMIFS(Senin!$H$7:$H$146,Senin!$C$7:$C$146,$B27,Senin!$A$7:$A$146,"&gt;="&amp;DATE(2026,10,19),Senin!$A$7:$A$146,"&lt;="&amp;DATE(2026,10,25))+SUMIFS(Selasa!$H$7:$H$166,Selasa!$C$7:$C$166,$B27,Selasa!$A$7:$A$166,"&gt;="&amp;DATE(2026,10,19),Selasa!$A$7:$A$166,"&lt;="&amp;DATE(2026,10,25))+SUMIFS(Rabu!$H$7:$H$206,Rabu!$C$7:$C$206,$B27,Rabu!$A$7:$A$206,"&gt;="&amp;DATE(2026,10,19),Rabu!$A$7:$A$206,"&lt;="&amp;DATE(2026,10,25))+SUMIFS(Kamis!$H$7:$H$186,Kamis!$C$7:$C$186,$B27,Kamis!$A$7:$A$186,"&gt;="&amp;DATE(2026,10,19),Kamis!$A$7:$A$186,"&lt;="&amp;DATE(2026,10,25))+SUMIFS(Jumat!$H$7:$H$186,Jumat!$C$7:$C$186,$B27,Jumat!$A$7:$A$186,"&gt;="&amp;DATE(2026,10,19),Jumat!$A$7:$A$186,"&lt;="&amp;DATE(2026,10,25))</f>
        <v>0</v>
      </c>
      <c r="S27" s="45">
        <f>SUMIFS(Senin!$H$7:$H$146,Senin!$C$7:$C$146,$B27,Senin!$A$7:$A$146,"&gt;="&amp;DATE(2026,10,26),Senin!$A$7:$A$146,"&lt;="&amp;DATE(2026,11,1))+SUMIFS(Selasa!$H$7:$H$166,Selasa!$C$7:$C$166,$B27,Selasa!$A$7:$A$166,"&gt;="&amp;DATE(2026,10,26),Selasa!$A$7:$A$166,"&lt;="&amp;DATE(2026,11,1))+SUMIFS(Rabu!$H$7:$H$206,Rabu!$C$7:$C$206,$B27,Rabu!$A$7:$A$206,"&gt;="&amp;DATE(2026,10,26),Rabu!$A$7:$A$206,"&lt;="&amp;DATE(2026,11,1))+SUMIFS(Kamis!$H$7:$H$186,Kamis!$C$7:$C$186,$B27,Kamis!$A$7:$A$186,"&gt;="&amp;DATE(2026,10,26),Kamis!$A$7:$A$186,"&lt;="&amp;DATE(2026,11,1))+SUMIFS(Jumat!$H$7:$H$186,Jumat!$C$7:$C$186,$B27,Jumat!$A$7:$A$186,"&gt;="&amp;DATE(2026,10,26),Jumat!$A$7:$A$186,"&lt;="&amp;DATE(2026,11,1))</f>
        <v>0</v>
      </c>
      <c r="T27" s="45">
        <f>SUMIFS(Senin!$H$7:$H$146,Senin!$C$7:$C$146,$B27,Senin!$A$7:$A$146,"&gt;="&amp;DATE(2026,11,2),Senin!$A$7:$A$146,"&lt;="&amp;DATE(2026,11,8))+SUMIFS(Selasa!$H$7:$H$166,Selasa!$C$7:$C$166,$B27,Selasa!$A$7:$A$166,"&gt;="&amp;DATE(2026,11,2),Selasa!$A$7:$A$166,"&lt;="&amp;DATE(2026,11,8))+SUMIFS(Rabu!$H$7:$H$206,Rabu!$C$7:$C$206,$B27,Rabu!$A$7:$A$206,"&gt;="&amp;DATE(2026,11,2),Rabu!$A$7:$A$206,"&lt;="&amp;DATE(2026,11,8))+SUMIFS(Kamis!$H$7:$H$186,Kamis!$C$7:$C$186,$B27,Kamis!$A$7:$A$186,"&gt;="&amp;DATE(2026,11,2),Kamis!$A$7:$A$186,"&lt;="&amp;DATE(2026,11,8))+SUMIFS(Jumat!$H$7:$H$186,Jumat!$C$7:$C$186,$B27,Jumat!$A$7:$A$186,"&gt;="&amp;DATE(2026,11,2),Jumat!$A$7:$A$186,"&lt;="&amp;DATE(2026,11,8))</f>
        <v>0</v>
      </c>
      <c r="U27" s="45">
        <f>SUMIFS(Senin!$H$7:$H$146,Senin!$C$7:$C$146,$B27,Senin!$A$7:$A$146,"&gt;="&amp;DATE(2026,11,9),Senin!$A$7:$A$146,"&lt;="&amp;DATE(2026,11,15))+SUMIFS(Selasa!$H$7:$H$166,Selasa!$C$7:$C$166,$B27,Selasa!$A$7:$A$166,"&gt;="&amp;DATE(2026,11,9),Selasa!$A$7:$A$166,"&lt;="&amp;DATE(2026,11,15))+SUMIFS(Rabu!$H$7:$H$206,Rabu!$C$7:$C$206,$B27,Rabu!$A$7:$A$206,"&gt;="&amp;DATE(2026,11,9),Rabu!$A$7:$A$206,"&lt;="&amp;DATE(2026,11,15))+SUMIFS(Kamis!$H$7:$H$186,Kamis!$C$7:$C$186,$B27,Kamis!$A$7:$A$186,"&gt;="&amp;DATE(2026,11,9),Kamis!$A$7:$A$186,"&lt;="&amp;DATE(2026,11,15))+SUMIFS(Jumat!$H$7:$H$186,Jumat!$C$7:$C$186,$B27,Jumat!$A$7:$A$186,"&gt;="&amp;DATE(2026,11,9),Jumat!$A$7:$A$186,"&lt;="&amp;DATE(2026,11,15))</f>
        <v>0</v>
      </c>
      <c r="V27" s="45">
        <f>SUMIFS(Senin!$H$7:$H$146,Senin!$C$7:$C$146,$B27,Senin!$A$7:$A$146,"&gt;="&amp;DATE(2026,11,16),Senin!$A$7:$A$146,"&lt;="&amp;DATE(2026,11,22))+SUMIFS(Selasa!$H$7:$H$166,Selasa!$C$7:$C$166,$B27,Selasa!$A$7:$A$166,"&gt;="&amp;DATE(2026,11,16),Selasa!$A$7:$A$166,"&lt;="&amp;DATE(2026,11,22))+SUMIFS(Rabu!$H$7:$H$206,Rabu!$C$7:$C$206,$B27,Rabu!$A$7:$A$206,"&gt;="&amp;DATE(2026,11,16),Rabu!$A$7:$A$206,"&lt;="&amp;DATE(2026,11,22))+SUMIFS(Kamis!$H$7:$H$186,Kamis!$C$7:$C$186,$B27,Kamis!$A$7:$A$186,"&gt;="&amp;DATE(2026,11,16),Kamis!$A$7:$A$186,"&lt;="&amp;DATE(2026,11,22))+SUMIFS(Jumat!$H$7:$H$186,Jumat!$C$7:$C$186,$B27,Jumat!$A$7:$A$186,"&gt;="&amp;DATE(2026,11,16),Jumat!$A$7:$A$186,"&lt;="&amp;DATE(2026,11,22))</f>
        <v>0</v>
      </c>
      <c r="W27" s="45">
        <f>SUMIFS(Senin!$H$7:$H$146,Senin!$C$7:$C$146,$B27,Senin!$A$7:$A$146,"&gt;="&amp;DATE(2026,11,23),Senin!$A$7:$A$146,"&lt;="&amp;DATE(2026,11,29))+SUMIFS(Selasa!$H$7:$H$166,Selasa!$C$7:$C$166,$B27,Selasa!$A$7:$A$166,"&gt;="&amp;DATE(2026,11,23),Selasa!$A$7:$A$166,"&lt;="&amp;DATE(2026,11,29))+SUMIFS(Rabu!$H$7:$H$206,Rabu!$C$7:$C$206,$B27,Rabu!$A$7:$A$206,"&gt;="&amp;DATE(2026,11,23),Rabu!$A$7:$A$206,"&lt;="&amp;DATE(2026,11,29))+SUMIFS(Kamis!$H$7:$H$186,Kamis!$C$7:$C$186,$B27,Kamis!$A$7:$A$186,"&gt;="&amp;DATE(2026,11,23),Kamis!$A$7:$A$186,"&lt;="&amp;DATE(2026,11,29))+SUMIFS(Jumat!$H$7:$H$186,Jumat!$C$7:$C$186,$B27,Jumat!$A$7:$A$186,"&gt;="&amp;DATE(2026,11,23),Jumat!$A$7:$A$186,"&lt;="&amp;DATE(2026,11,29))</f>
        <v>0</v>
      </c>
      <c r="X27" s="45">
        <f>SUMIFS(Senin!$H$7:$H$146,Senin!$C$7:$C$146,$B27,Senin!$A$7:$A$146,"&gt;="&amp;DATE(2026,11,30),Senin!$A$7:$A$146,"&lt;="&amp;DATE(2026,12,6))+SUMIFS(Selasa!$H$7:$H$166,Selasa!$C$7:$C$166,$B27,Selasa!$A$7:$A$166,"&gt;="&amp;DATE(2026,11,30),Selasa!$A$7:$A$166,"&lt;="&amp;DATE(2026,12,6))+SUMIFS(Rabu!$H$7:$H$206,Rabu!$C$7:$C$206,$B27,Rabu!$A$7:$A$206,"&gt;="&amp;DATE(2026,11,30),Rabu!$A$7:$A$206,"&lt;="&amp;DATE(2026,12,6))+SUMIFS(Kamis!$H$7:$H$186,Kamis!$C$7:$C$186,$B27,Kamis!$A$7:$A$186,"&gt;="&amp;DATE(2026,11,30),Kamis!$A$7:$A$186,"&lt;="&amp;DATE(2026,12,6))+SUMIFS(Jumat!$H$7:$H$186,Jumat!$C$7:$C$186,$B27,Jumat!$A$7:$A$186,"&gt;="&amp;DATE(2026,11,30),Jumat!$A$7:$A$186,"&lt;="&amp;DATE(2026,12,6))</f>
        <v>0</v>
      </c>
      <c r="Y27" s="45">
        <f>SUMIFS(Senin!$H$7:$H$146,Senin!$C$7:$C$146,$B27,Senin!$A$7:$A$146,"&gt;="&amp;DATE(2026,12,7),Senin!$A$7:$A$146,"&lt;="&amp;DATE(2026,12,13))+SUMIFS(Selasa!$H$7:$H$166,Selasa!$C$7:$C$166,$B27,Selasa!$A$7:$A$166,"&gt;="&amp;DATE(2026,12,7),Selasa!$A$7:$A$166,"&lt;="&amp;DATE(2026,12,13))+SUMIFS(Rabu!$H$7:$H$206,Rabu!$C$7:$C$206,$B27,Rabu!$A$7:$A$206,"&gt;="&amp;DATE(2026,12,7),Rabu!$A$7:$A$206,"&lt;="&amp;DATE(2026,12,13))+SUMIFS(Kamis!$H$7:$H$186,Kamis!$C$7:$C$186,$B27,Kamis!$A$7:$A$186,"&gt;="&amp;DATE(2026,12,7),Kamis!$A$7:$A$186,"&lt;="&amp;DATE(2026,12,13))+SUMIFS(Jumat!$H$7:$H$186,Jumat!$C$7:$C$186,$B27,Jumat!$A$7:$A$186,"&gt;="&amp;DATE(2026,12,7),Jumat!$A$7:$A$186,"&lt;="&amp;DATE(2026,12,13))</f>
        <v>0</v>
      </c>
      <c r="Z27" s="45">
        <f>SUMIFS(Senin!$H$7:$H$146,Senin!$C$7:$C$146,$B27,Senin!$A$7:$A$146,"&gt;="&amp;DATE(2026,12,14),Senin!$A$7:$A$146,"&lt;="&amp;DATE(2026,12,20))+SUMIFS(Selasa!$H$7:$H$166,Selasa!$C$7:$C$166,$B27,Selasa!$A$7:$A$166,"&gt;="&amp;DATE(2026,12,14),Selasa!$A$7:$A$166,"&lt;="&amp;DATE(2026,12,20))+SUMIFS(Rabu!$H$7:$H$206,Rabu!$C$7:$C$206,$B27,Rabu!$A$7:$A$206,"&gt;="&amp;DATE(2026,12,14),Rabu!$A$7:$A$206,"&lt;="&amp;DATE(2026,12,20))+SUMIFS(Kamis!$H$7:$H$186,Kamis!$C$7:$C$186,$B27,Kamis!$A$7:$A$186,"&gt;="&amp;DATE(2026,12,14),Kamis!$A$7:$A$186,"&lt;="&amp;DATE(2026,12,20))+SUMIFS(Jumat!$H$7:$H$186,Jumat!$C$7:$C$186,$B27,Jumat!$A$7:$A$186,"&gt;="&amp;DATE(2026,12,14),Jumat!$A$7:$A$186,"&lt;="&amp;DATE(2026,12,20))</f>
        <v>0</v>
      </c>
      <c r="AA27" s="45">
        <f>SUMIFS(Senin!$H$7:$H$146,Senin!$C$7:$C$146,$B27,Senin!$A$7:$A$146,"&gt;="&amp;DATE(2026,12,21),Senin!$A$7:$A$146,"&lt;="&amp;DATE(2026,12,27))+SUMIFS(Selasa!$H$7:$H$166,Selasa!$C$7:$C$166,$B27,Selasa!$A$7:$A$166,"&gt;="&amp;DATE(2026,12,21),Selasa!$A$7:$A$166,"&lt;="&amp;DATE(2026,12,27))+SUMIFS(Rabu!$H$7:$H$206,Rabu!$C$7:$C$206,$B27,Rabu!$A$7:$A$206,"&gt;="&amp;DATE(2026,12,21),Rabu!$A$7:$A$206,"&lt;="&amp;DATE(2026,12,27))+SUMIFS(Kamis!$H$7:$H$186,Kamis!$C$7:$C$186,$B27,Kamis!$A$7:$A$186,"&gt;="&amp;DATE(2026,12,21),Kamis!$A$7:$A$186,"&lt;="&amp;DATE(2026,12,27))+SUMIFS(Jumat!$H$7:$H$186,Jumat!$C$7:$C$186,$B27,Jumat!$A$7:$A$186,"&gt;="&amp;DATE(2026,12,21),Jumat!$A$7:$A$186,"&lt;="&amp;DATE(2026,12,27))</f>
        <v>0</v>
      </c>
      <c r="AB27" s="45">
        <f>SUMIFS(Senin!$H$7:$H$146,Senin!$C$7:$C$146,$B27,Senin!$A$7:$A$146,"&gt;="&amp;DATE(2026,12,28),Senin!$A$7:$A$146,"&lt;="&amp;DATE(2027,1,3))+SUMIFS(Selasa!$H$7:$H$166,Selasa!$C$7:$C$166,$B27,Selasa!$A$7:$A$166,"&gt;="&amp;DATE(2026,12,28),Selasa!$A$7:$A$166,"&lt;="&amp;DATE(2027,1,3))+SUMIFS(Rabu!$H$7:$H$206,Rabu!$C$7:$C$206,$B27,Rabu!$A$7:$A$206,"&gt;="&amp;DATE(2026,12,28),Rabu!$A$7:$A$206,"&lt;="&amp;DATE(2027,1,3))+SUMIFS(Kamis!$H$7:$H$186,Kamis!$C$7:$C$186,$B27,Kamis!$A$7:$A$186,"&gt;="&amp;DATE(2026,12,28),Kamis!$A$7:$A$186,"&lt;="&amp;DATE(2027,1,3))+SUMIFS(Jumat!$H$7:$H$186,Jumat!$C$7:$C$186,$B27,Jumat!$A$7:$A$186,"&gt;="&amp;DATE(2026,12,28),Jumat!$A$7:$A$186,"&lt;="&amp;DATE(2027,1,3))</f>
        <v>0</v>
      </c>
      <c r="AC27" s="45">
        <f>SUMIFS(Senin!$H$7:$H$146,Senin!$C$7:$C$146,$B27,Senin!$A$7:$A$146,"&gt;="&amp;DATE(2027,1,4),Senin!$A$7:$A$146,"&lt;="&amp;DATE(2027,1,10))+SUMIFS(Selasa!$H$7:$H$166,Selasa!$C$7:$C$166,$B27,Selasa!$A$7:$A$166,"&gt;="&amp;DATE(2027,1,4),Selasa!$A$7:$A$166,"&lt;="&amp;DATE(2027,1,10))+SUMIFS(Rabu!$H$7:$H$206,Rabu!$C$7:$C$206,$B27,Rabu!$A$7:$A$206,"&gt;="&amp;DATE(2027,1,4),Rabu!$A$7:$A$206,"&lt;="&amp;DATE(2027,1,10))+SUMIFS(Kamis!$H$7:$H$186,Kamis!$C$7:$C$186,$B27,Kamis!$A$7:$A$186,"&gt;="&amp;DATE(2027,1,4),Kamis!$A$7:$A$186,"&lt;="&amp;DATE(2027,1,10))+SUMIFS(Jumat!$H$7:$H$186,Jumat!$C$7:$C$186,$B27,Jumat!$A$7:$A$186,"&gt;="&amp;DATE(2027,1,4),Jumat!$A$7:$A$186,"&lt;="&amp;DATE(2027,1,10))</f>
        <v>0</v>
      </c>
      <c r="AD27" s="45">
        <f>SUMIFS(Senin!$H$7:$H$146,Senin!$C$7:$C$146,$B27,Senin!$A$7:$A$146,"&gt;="&amp;DATE(2027,1,11),Senin!$A$7:$A$146,"&lt;="&amp;DATE(2027,1,17))+SUMIFS(Selasa!$H$7:$H$166,Selasa!$C$7:$C$166,$B27,Selasa!$A$7:$A$166,"&gt;="&amp;DATE(2027,1,11),Selasa!$A$7:$A$166,"&lt;="&amp;DATE(2027,1,17))+SUMIFS(Rabu!$H$7:$H$206,Rabu!$C$7:$C$206,$B27,Rabu!$A$7:$A$206,"&gt;="&amp;DATE(2027,1,11),Rabu!$A$7:$A$206,"&lt;="&amp;DATE(2027,1,17))+SUMIFS(Kamis!$H$7:$H$186,Kamis!$C$7:$C$186,$B27,Kamis!$A$7:$A$186,"&gt;="&amp;DATE(2027,1,11),Kamis!$A$7:$A$186,"&lt;="&amp;DATE(2027,1,17))+SUMIFS(Jumat!$H$7:$H$186,Jumat!$C$7:$C$186,$B27,Jumat!$A$7:$A$186,"&gt;="&amp;DATE(2027,1,11),Jumat!$A$7:$A$186,"&lt;="&amp;DATE(2027,1,17))</f>
        <v>0</v>
      </c>
    </row>
    <row r="28" ht="15.75" customHeight="1">
      <c r="A28" s="27">
        <v>25.0</v>
      </c>
      <c r="B28" s="61" t="s">
        <v>37</v>
      </c>
      <c r="C28" s="41">
        <f>COUNTIFS(Senin!$C$7:$C$146,$B28,Senin!$G$7:$G$146,"Ya",Senin!$E$7:$E$146,"&lt;&gt;")+COUNTIFS(Selasa!$C$7:$C$166,$B28,Selasa!$G$7:$G$166,"Ya",Selasa!$E$7:$E$166,"&lt;&gt;")+COUNTIFS(Rabu!$C$7:$C$206,$B28,Rabu!$G$7:$G$206,"Ya",Rabu!$E$7:$E$206,"&lt;&gt;")+COUNTIFS(Kamis!$C$7:$C$186,$B28,Kamis!$G$7:$G$186,"Ya",Kamis!$E$7:$E$186,"&lt;&gt;")+COUNTIFS(Jumat!$C$7:$C$186,$B28,Jumat!$G$7:$G$186,"Ya",Jumat!$E$7:$E$186,"&lt;&gt;")</f>
        <v>0</v>
      </c>
      <c r="D28" s="41">
        <f>COUNTIFS(Senin!$C$7:$C$146,$B28,Senin!$G$7:$G$146,"Ya",Senin!$E$7:$E$146,"")+COUNTIFS(Selasa!$C$7:$C$166,$B28,Selasa!$G$7:$G$166,"Ya",Selasa!$E$7:$E$166,"")+COUNTIFS(Rabu!$C$7:$C$206,$B28,Rabu!$G$7:$G$206,"Ya",Rabu!$E$7:$E$206,"")+COUNTIFS(Kamis!$C$7:$C$186,$B28,Kamis!$G$7:$G$186,"Ya",Kamis!$E$7:$E$186,"")+COUNTIFS(Jumat!$C$7:$C$186,$B28,Jumat!$G$7:$G$186,"Ya",Jumat!$E$7:$E$186,"")</f>
        <v>0</v>
      </c>
      <c r="E28" s="45">
        <f>SUMIFS(Senin!$H$7:$H$146,Senin!$C$7:$C$146,$B28,Senin!$A$7:$A$146,"&gt;="&amp;DATE(2026,8,1),Senin!$A$7:$A$146,"&lt;="&amp;DATE(2026,12,31))+SUMIFS(Selasa!$H$7:$H$166,Selasa!$C$7:$C$166,$B28,Selasa!$A$7:$A$166,"&gt;="&amp;DATE(2026,8,1),Selasa!$A$7:$A$166,"&lt;="&amp;DATE(2026,12,31))+SUMIFS(Rabu!$H$7:$H$206,Rabu!$C$7:$C$206,$B28,Rabu!$A$7:$A$206,"&gt;="&amp;DATE(2026,8,1),Rabu!$A$7:$A$206,"&lt;="&amp;DATE(2026,12,31))+SUMIFS(Kamis!$H$7:$H$186,Kamis!$C$7:$C$186,$B28,Kamis!$A$7:$A$186,"&gt;="&amp;DATE(2026,8,1),Kamis!$A$7:$A$186,"&lt;="&amp;DATE(2026,12,31))+SUMIFS(Jumat!$H$7:$H$186,Jumat!$C$7:$C$186,$B28,Jumat!$A$7:$A$186,"&gt;="&amp;DATE(2026,8,1),Jumat!$A$7:$A$186,"&lt;="&amp;DATE(2026,12,31))</f>
        <v>0</v>
      </c>
      <c r="F28" s="45">
        <f>SUMIFS(Senin!$H$7:$H$146,Senin!$C$7:$C$146,$B28,Senin!$A$7:$A$146,"&gt;="&amp;DATE(2026,8,1),Senin!$A$7:$A$146,"&lt;="&amp;DATE(2026,8,31))+SUMIFS(Selasa!$H$7:$H$166,Selasa!$C$7:$C$166,$B28,Selasa!$A$7:$A$166,"&gt;="&amp;DATE(2026,8,1),Selasa!$A$7:$A$166,"&lt;="&amp;DATE(2026,8,31))+SUMIFS(Rabu!$H$7:$H$206,Rabu!$C$7:$C$206,$B28,Rabu!$A$7:$A$206,"&gt;="&amp;DATE(2026,8,1),Rabu!$A$7:$A$206,"&lt;="&amp;DATE(2026,8,31))+SUMIFS(Kamis!$H$7:$H$186,Kamis!$C$7:$C$186,$B28,Kamis!$A$7:$A$186,"&gt;="&amp;DATE(2026,8,1),Kamis!$A$7:$A$186,"&lt;="&amp;DATE(2026,8,31))+SUMIFS(Jumat!$H$7:$H$186,Jumat!$C$7:$C$186,$B28,Jumat!$A$7:$A$186,"&gt;="&amp;DATE(2026,8,1),Jumat!$A$7:$A$186,"&lt;="&amp;DATE(2026,8,31))</f>
        <v>0</v>
      </c>
      <c r="G28" s="45">
        <f>SUMIFS(Senin!$H$7:$H$146,Senin!$C$7:$C$146,$B28,Senin!$A$7:$A$146,"&gt;="&amp;DATE(2026,9,1),Senin!$A$7:$A$146,"&lt;="&amp;DATE(2026,9,30))+SUMIFS(Selasa!$H$7:$H$166,Selasa!$C$7:$C$166,$B28,Selasa!$A$7:$A$166,"&gt;="&amp;DATE(2026,9,1),Selasa!$A$7:$A$166,"&lt;="&amp;DATE(2026,9,30))+SUMIFS(Rabu!$H$7:$H$206,Rabu!$C$7:$C$206,$B28,Rabu!$A$7:$A$206,"&gt;="&amp;DATE(2026,9,1),Rabu!$A$7:$A$206,"&lt;="&amp;DATE(2026,9,30))+SUMIFS(Kamis!$H$7:$H$186,Kamis!$C$7:$C$186,$B28,Kamis!$A$7:$A$186,"&gt;="&amp;DATE(2026,9,1),Kamis!$A$7:$A$186,"&lt;="&amp;DATE(2026,9,30))+SUMIFS(Jumat!$H$7:$H$186,Jumat!$C$7:$C$186,$B28,Jumat!$A$7:$A$186,"&gt;="&amp;DATE(2026,9,1),Jumat!$A$7:$A$186,"&lt;="&amp;DATE(2026,9,30))</f>
        <v>0</v>
      </c>
      <c r="H28" s="45">
        <f>SUMIFS(Senin!$H$7:$H$146,Senin!$C$7:$C$146,$B28,Senin!$A$7:$A$146,"&gt;="&amp;DATE(2026,10,1),Senin!$A$7:$A$146,"&lt;="&amp;DATE(2026,10,31))+SUMIFS(Selasa!$H$7:$H$166,Selasa!$C$7:$C$166,$B28,Selasa!$A$7:$A$166,"&gt;="&amp;DATE(2026,10,1),Selasa!$A$7:$A$166,"&lt;="&amp;DATE(2026,10,31))+SUMIFS(Rabu!$H$7:$H$206,Rabu!$C$7:$C$206,$B28,Rabu!$A$7:$A$206,"&gt;="&amp;DATE(2026,10,1),Rabu!$A$7:$A$206,"&lt;="&amp;DATE(2026,10,31))+SUMIFS(Kamis!$H$7:$H$186,Kamis!$C$7:$C$186,$B28,Kamis!$A$7:$A$186,"&gt;="&amp;DATE(2026,10,1),Kamis!$A$7:$A$186,"&lt;="&amp;DATE(2026,10,31))+SUMIFS(Jumat!$H$7:$H$186,Jumat!$C$7:$C$186,$B28,Jumat!$A$7:$A$186,"&gt;="&amp;DATE(2026,10,1),Jumat!$A$7:$A$186,"&lt;="&amp;DATE(2026,10,31))</f>
        <v>0</v>
      </c>
      <c r="I28" s="45">
        <f>SUMIFS(Senin!$H$7:$H$146,Senin!$C$7:$C$146,$B28,Senin!$A$7:$A$146,"&gt;="&amp;DATE(2026,11,1),Senin!$A$7:$A$146,"&lt;="&amp;DATE(2026,11,30))+SUMIFS(Selasa!$H$7:$H$166,Selasa!$C$7:$C$166,$B28,Selasa!$A$7:$A$166,"&gt;="&amp;DATE(2026,11,1),Selasa!$A$7:$A$166,"&lt;="&amp;DATE(2026,11,30))+SUMIFS(Rabu!$H$7:$H$206,Rabu!$C$7:$C$206,$B28,Rabu!$A$7:$A$206,"&gt;="&amp;DATE(2026,11,1),Rabu!$A$7:$A$206,"&lt;="&amp;DATE(2026,11,30))+SUMIFS(Kamis!$H$7:$H$186,Kamis!$C$7:$C$186,$B28,Kamis!$A$7:$A$186,"&gt;="&amp;DATE(2026,11,1),Kamis!$A$7:$A$186,"&lt;="&amp;DATE(2026,11,30))+SUMIFS(Jumat!$H$7:$H$186,Jumat!$C$7:$C$186,$B28,Jumat!$A$7:$A$186,"&gt;="&amp;DATE(2026,11,1),Jumat!$A$7:$A$186,"&lt;="&amp;DATE(2026,11,30))</f>
        <v>0</v>
      </c>
      <c r="J28" s="45">
        <f>SUMIFS(Senin!$H$7:$H$146,Senin!$C$7:$C$146,$B28,Senin!$A$7:$A$146,"&gt;="&amp;DATE(2026,12,1),Senin!$A$7:$A$146,"&lt;="&amp;DATE(2026,12,31))+SUMIFS(Selasa!$H$7:$H$166,Selasa!$C$7:$C$166,$B28,Selasa!$A$7:$A$166,"&gt;="&amp;DATE(2026,12,1),Selasa!$A$7:$A$166,"&lt;="&amp;DATE(2026,12,31))+SUMIFS(Rabu!$H$7:$H$206,Rabu!$C$7:$C$206,$B28,Rabu!$A$7:$A$206,"&gt;="&amp;DATE(2026,12,1),Rabu!$A$7:$A$206,"&lt;="&amp;DATE(2026,12,31))+SUMIFS(Kamis!$H$7:$H$186,Kamis!$C$7:$C$186,$B28,Kamis!$A$7:$A$186,"&gt;="&amp;DATE(2026,12,1),Kamis!$A$7:$A$186,"&lt;="&amp;DATE(2026,12,31))+SUMIFS(Jumat!$H$7:$H$186,Jumat!$C$7:$C$186,$B28,Jumat!$A$7:$A$186,"&gt;="&amp;DATE(2026,12,1),Jumat!$A$7:$A$186,"&lt;="&amp;DATE(2026,12,31))</f>
        <v>0</v>
      </c>
      <c r="K28" s="45">
        <f>SUMIFS(Senin!$H$7:$H$146,Senin!$C$7:$C$146,$B28,Senin!$A$7:$A$146,"&gt;="&amp;DATE(2026,8,31),Senin!$A$7:$A$146,"&lt;="&amp;DATE(2026,9,6))+SUMIFS(Selasa!$H$7:$H$166,Selasa!$C$7:$C$166,$B28,Selasa!$A$7:$A$166,"&gt;="&amp;DATE(2026,8,31),Selasa!$A$7:$A$166,"&lt;="&amp;DATE(2026,9,6))+SUMIFS(Rabu!$H$7:$H$206,Rabu!$C$7:$C$206,$B28,Rabu!$A$7:$A$206,"&gt;="&amp;DATE(2026,8,31),Rabu!$A$7:$A$206,"&lt;="&amp;DATE(2026,9,6))+SUMIFS(Kamis!$H$7:$H$186,Kamis!$C$7:$C$186,$B28,Kamis!$A$7:$A$186,"&gt;="&amp;DATE(2026,8,31),Kamis!$A$7:$A$186,"&lt;="&amp;DATE(2026,9,6))+SUMIFS(Jumat!$H$7:$H$186,Jumat!$C$7:$C$186,$B28,Jumat!$A$7:$A$186,"&gt;="&amp;DATE(2026,8,31),Jumat!$A$7:$A$186,"&lt;="&amp;DATE(2026,9,6))</f>
        <v>0</v>
      </c>
      <c r="L28" s="45">
        <f>SUMIFS(Senin!$H$7:$H$146,Senin!$C$7:$C$146,$B28,Senin!$A$7:$A$146,"&gt;="&amp;DATE(2026,9,7),Senin!$A$7:$A$146,"&lt;="&amp;DATE(2026,9,13))+SUMIFS(Selasa!$H$7:$H$166,Selasa!$C$7:$C$166,$B28,Selasa!$A$7:$A$166,"&gt;="&amp;DATE(2026,9,7),Selasa!$A$7:$A$166,"&lt;="&amp;DATE(2026,9,13))+SUMIFS(Rabu!$H$7:$H$206,Rabu!$C$7:$C$206,$B28,Rabu!$A$7:$A$206,"&gt;="&amp;DATE(2026,9,7),Rabu!$A$7:$A$206,"&lt;="&amp;DATE(2026,9,13))+SUMIFS(Kamis!$H$7:$H$186,Kamis!$C$7:$C$186,$B28,Kamis!$A$7:$A$186,"&gt;="&amp;DATE(2026,9,7),Kamis!$A$7:$A$186,"&lt;="&amp;DATE(2026,9,13))+SUMIFS(Jumat!$H$7:$H$186,Jumat!$C$7:$C$186,$B28,Jumat!$A$7:$A$186,"&gt;="&amp;DATE(2026,9,7),Jumat!$A$7:$A$186,"&lt;="&amp;DATE(2026,9,13))</f>
        <v>0</v>
      </c>
      <c r="M28" s="45">
        <f>SUMIFS(Senin!$H$7:$H$146,Senin!$C$7:$C$146,$B28,Senin!$A$7:$A$146,"&gt;="&amp;DATE(2026,9,14),Senin!$A$7:$A$146,"&lt;="&amp;DATE(2026,9,20))+SUMIFS(Selasa!$H$7:$H$166,Selasa!$C$7:$C$166,$B28,Selasa!$A$7:$A$166,"&gt;="&amp;DATE(2026,9,14),Selasa!$A$7:$A$166,"&lt;="&amp;DATE(2026,9,20))+SUMIFS(Rabu!$H$7:$H$206,Rabu!$C$7:$C$206,$B28,Rabu!$A$7:$A$206,"&gt;="&amp;DATE(2026,9,14),Rabu!$A$7:$A$206,"&lt;="&amp;DATE(2026,9,20))+SUMIFS(Kamis!$H$7:$H$186,Kamis!$C$7:$C$186,$B28,Kamis!$A$7:$A$186,"&gt;="&amp;DATE(2026,9,14),Kamis!$A$7:$A$186,"&lt;="&amp;DATE(2026,9,20))+SUMIFS(Jumat!$H$7:$H$186,Jumat!$C$7:$C$186,$B28,Jumat!$A$7:$A$186,"&gt;="&amp;DATE(2026,9,14),Jumat!$A$7:$A$186,"&lt;="&amp;DATE(2026,9,20))</f>
        <v>0</v>
      </c>
      <c r="N28" s="45">
        <f>SUMIFS(Senin!$H$7:$H$146,Senin!$C$7:$C$146,$B28,Senin!$A$7:$A$146,"&gt;="&amp;DATE(2026,9,21),Senin!$A$7:$A$146,"&lt;="&amp;DATE(2026,9,27))+SUMIFS(Selasa!$H$7:$H$166,Selasa!$C$7:$C$166,$B28,Selasa!$A$7:$A$166,"&gt;="&amp;DATE(2026,9,21),Selasa!$A$7:$A$166,"&lt;="&amp;DATE(2026,9,27))+SUMIFS(Rabu!$H$7:$H$206,Rabu!$C$7:$C$206,$B28,Rabu!$A$7:$A$206,"&gt;="&amp;DATE(2026,9,21),Rabu!$A$7:$A$206,"&lt;="&amp;DATE(2026,9,27))+SUMIFS(Kamis!$H$7:$H$186,Kamis!$C$7:$C$186,$B28,Kamis!$A$7:$A$186,"&gt;="&amp;DATE(2026,9,21),Kamis!$A$7:$A$186,"&lt;="&amp;DATE(2026,9,27))+SUMIFS(Jumat!$H$7:$H$186,Jumat!$C$7:$C$186,$B28,Jumat!$A$7:$A$186,"&gt;="&amp;DATE(2026,9,21),Jumat!$A$7:$A$186,"&lt;="&amp;DATE(2026,9,27))</f>
        <v>0</v>
      </c>
      <c r="O28" s="45">
        <f>SUMIFS(Senin!$H$7:$H$146,Senin!$C$7:$C$146,$B28,Senin!$A$7:$A$146,"&gt;="&amp;DATE(2026,9,28),Senin!$A$7:$A$146,"&lt;="&amp;DATE(2026,10,4))+SUMIFS(Selasa!$H$7:$H$166,Selasa!$C$7:$C$166,$B28,Selasa!$A$7:$A$166,"&gt;="&amp;DATE(2026,9,28),Selasa!$A$7:$A$166,"&lt;="&amp;DATE(2026,10,4))+SUMIFS(Rabu!$H$7:$H$206,Rabu!$C$7:$C$206,$B28,Rabu!$A$7:$A$206,"&gt;="&amp;DATE(2026,9,28),Rabu!$A$7:$A$206,"&lt;="&amp;DATE(2026,10,4))+SUMIFS(Kamis!$H$7:$H$186,Kamis!$C$7:$C$186,$B28,Kamis!$A$7:$A$186,"&gt;="&amp;DATE(2026,9,28),Kamis!$A$7:$A$186,"&lt;="&amp;DATE(2026,10,4))+SUMIFS(Jumat!$H$7:$H$186,Jumat!$C$7:$C$186,$B28,Jumat!$A$7:$A$186,"&gt;="&amp;DATE(2026,9,28),Jumat!$A$7:$A$186,"&lt;="&amp;DATE(2026,10,4))</f>
        <v>0</v>
      </c>
      <c r="P28" s="45">
        <f>SUMIFS(Senin!$H$7:$H$146,Senin!$C$7:$C$146,$B28,Senin!$A$7:$A$146,"&gt;="&amp;DATE(2026,10,5),Senin!$A$7:$A$146,"&lt;="&amp;DATE(2026,10,11))+SUMIFS(Selasa!$H$7:$H$166,Selasa!$C$7:$C$166,$B28,Selasa!$A$7:$A$166,"&gt;="&amp;DATE(2026,10,5),Selasa!$A$7:$A$166,"&lt;="&amp;DATE(2026,10,11))+SUMIFS(Rabu!$H$7:$H$206,Rabu!$C$7:$C$206,$B28,Rabu!$A$7:$A$206,"&gt;="&amp;DATE(2026,10,5),Rabu!$A$7:$A$206,"&lt;="&amp;DATE(2026,10,11))+SUMIFS(Kamis!$H$7:$H$186,Kamis!$C$7:$C$186,$B28,Kamis!$A$7:$A$186,"&gt;="&amp;DATE(2026,10,5),Kamis!$A$7:$A$186,"&lt;="&amp;DATE(2026,10,11))+SUMIFS(Jumat!$H$7:$H$186,Jumat!$C$7:$C$186,$B28,Jumat!$A$7:$A$186,"&gt;="&amp;DATE(2026,10,5),Jumat!$A$7:$A$186,"&lt;="&amp;DATE(2026,10,11))</f>
        <v>0</v>
      </c>
      <c r="Q28" s="45">
        <f>SUMIFS(Senin!$H$7:$H$146,Senin!$C$7:$C$146,$B28,Senin!$A$7:$A$146,"&gt;="&amp;DATE(2026,10,12),Senin!$A$7:$A$146,"&lt;="&amp;DATE(2026,10,18))+SUMIFS(Selasa!$H$7:$H$166,Selasa!$C$7:$C$166,$B28,Selasa!$A$7:$A$166,"&gt;="&amp;DATE(2026,10,12),Selasa!$A$7:$A$166,"&lt;="&amp;DATE(2026,10,18))+SUMIFS(Rabu!$H$7:$H$206,Rabu!$C$7:$C$206,$B28,Rabu!$A$7:$A$206,"&gt;="&amp;DATE(2026,10,12),Rabu!$A$7:$A$206,"&lt;="&amp;DATE(2026,10,18))+SUMIFS(Kamis!$H$7:$H$186,Kamis!$C$7:$C$186,$B28,Kamis!$A$7:$A$186,"&gt;="&amp;DATE(2026,10,12),Kamis!$A$7:$A$186,"&lt;="&amp;DATE(2026,10,18))+SUMIFS(Jumat!$H$7:$H$186,Jumat!$C$7:$C$186,$B28,Jumat!$A$7:$A$186,"&gt;="&amp;DATE(2026,10,12),Jumat!$A$7:$A$186,"&lt;="&amp;DATE(2026,10,18))</f>
        <v>0</v>
      </c>
      <c r="R28" s="45">
        <f>SUMIFS(Senin!$H$7:$H$146,Senin!$C$7:$C$146,$B28,Senin!$A$7:$A$146,"&gt;="&amp;DATE(2026,10,19),Senin!$A$7:$A$146,"&lt;="&amp;DATE(2026,10,25))+SUMIFS(Selasa!$H$7:$H$166,Selasa!$C$7:$C$166,$B28,Selasa!$A$7:$A$166,"&gt;="&amp;DATE(2026,10,19),Selasa!$A$7:$A$166,"&lt;="&amp;DATE(2026,10,25))+SUMIFS(Rabu!$H$7:$H$206,Rabu!$C$7:$C$206,$B28,Rabu!$A$7:$A$206,"&gt;="&amp;DATE(2026,10,19),Rabu!$A$7:$A$206,"&lt;="&amp;DATE(2026,10,25))+SUMIFS(Kamis!$H$7:$H$186,Kamis!$C$7:$C$186,$B28,Kamis!$A$7:$A$186,"&gt;="&amp;DATE(2026,10,19),Kamis!$A$7:$A$186,"&lt;="&amp;DATE(2026,10,25))+SUMIFS(Jumat!$H$7:$H$186,Jumat!$C$7:$C$186,$B28,Jumat!$A$7:$A$186,"&gt;="&amp;DATE(2026,10,19),Jumat!$A$7:$A$186,"&lt;="&amp;DATE(2026,10,25))</f>
        <v>0</v>
      </c>
      <c r="S28" s="45">
        <f>SUMIFS(Senin!$H$7:$H$146,Senin!$C$7:$C$146,$B28,Senin!$A$7:$A$146,"&gt;="&amp;DATE(2026,10,26),Senin!$A$7:$A$146,"&lt;="&amp;DATE(2026,11,1))+SUMIFS(Selasa!$H$7:$H$166,Selasa!$C$7:$C$166,$B28,Selasa!$A$7:$A$166,"&gt;="&amp;DATE(2026,10,26),Selasa!$A$7:$A$166,"&lt;="&amp;DATE(2026,11,1))+SUMIFS(Rabu!$H$7:$H$206,Rabu!$C$7:$C$206,$B28,Rabu!$A$7:$A$206,"&gt;="&amp;DATE(2026,10,26),Rabu!$A$7:$A$206,"&lt;="&amp;DATE(2026,11,1))+SUMIFS(Kamis!$H$7:$H$186,Kamis!$C$7:$C$186,$B28,Kamis!$A$7:$A$186,"&gt;="&amp;DATE(2026,10,26),Kamis!$A$7:$A$186,"&lt;="&amp;DATE(2026,11,1))+SUMIFS(Jumat!$H$7:$H$186,Jumat!$C$7:$C$186,$B28,Jumat!$A$7:$A$186,"&gt;="&amp;DATE(2026,10,26),Jumat!$A$7:$A$186,"&lt;="&amp;DATE(2026,11,1))</f>
        <v>0</v>
      </c>
      <c r="T28" s="45">
        <f>SUMIFS(Senin!$H$7:$H$146,Senin!$C$7:$C$146,$B28,Senin!$A$7:$A$146,"&gt;="&amp;DATE(2026,11,2),Senin!$A$7:$A$146,"&lt;="&amp;DATE(2026,11,8))+SUMIFS(Selasa!$H$7:$H$166,Selasa!$C$7:$C$166,$B28,Selasa!$A$7:$A$166,"&gt;="&amp;DATE(2026,11,2),Selasa!$A$7:$A$166,"&lt;="&amp;DATE(2026,11,8))+SUMIFS(Rabu!$H$7:$H$206,Rabu!$C$7:$C$206,$B28,Rabu!$A$7:$A$206,"&gt;="&amp;DATE(2026,11,2),Rabu!$A$7:$A$206,"&lt;="&amp;DATE(2026,11,8))+SUMIFS(Kamis!$H$7:$H$186,Kamis!$C$7:$C$186,$B28,Kamis!$A$7:$A$186,"&gt;="&amp;DATE(2026,11,2),Kamis!$A$7:$A$186,"&lt;="&amp;DATE(2026,11,8))+SUMIFS(Jumat!$H$7:$H$186,Jumat!$C$7:$C$186,$B28,Jumat!$A$7:$A$186,"&gt;="&amp;DATE(2026,11,2),Jumat!$A$7:$A$186,"&lt;="&amp;DATE(2026,11,8))</f>
        <v>0</v>
      </c>
      <c r="U28" s="45">
        <f>SUMIFS(Senin!$H$7:$H$146,Senin!$C$7:$C$146,$B28,Senin!$A$7:$A$146,"&gt;="&amp;DATE(2026,11,9),Senin!$A$7:$A$146,"&lt;="&amp;DATE(2026,11,15))+SUMIFS(Selasa!$H$7:$H$166,Selasa!$C$7:$C$166,$B28,Selasa!$A$7:$A$166,"&gt;="&amp;DATE(2026,11,9),Selasa!$A$7:$A$166,"&lt;="&amp;DATE(2026,11,15))+SUMIFS(Rabu!$H$7:$H$206,Rabu!$C$7:$C$206,$B28,Rabu!$A$7:$A$206,"&gt;="&amp;DATE(2026,11,9),Rabu!$A$7:$A$206,"&lt;="&amp;DATE(2026,11,15))+SUMIFS(Kamis!$H$7:$H$186,Kamis!$C$7:$C$186,$B28,Kamis!$A$7:$A$186,"&gt;="&amp;DATE(2026,11,9),Kamis!$A$7:$A$186,"&lt;="&amp;DATE(2026,11,15))+SUMIFS(Jumat!$H$7:$H$186,Jumat!$C$7:$C$186,$B28,Jumat!$A$7:$A$186,"&gt;="&amp;DATE(2026,11,9),Jumat!$A$7:$A$186,"&lt;="&amp;DATE(2026,11,15))</f>
        <v>0</v>
      </c>
      <c r="V28" s="45">
        <f>SUMIFS(Senin!$H$7:$H$146,Senin!$C$7:$C$146,$B28,Senin!$A$7:$A$146,"&gt;="&amp;DATE(2026,11,16),Senin!$A$7:$A$146,"&lt;="&amp;DATE(2026,11,22))+SUMIFS(Selasa!$H$7:$H$166,Selasa!$C$7:$C$166,$B28,Selasa!$A$7:$A$166,"&gt;="&amp;DATE(2026,11,16),Selasa!$A$7:$A$166,"&lt;="&amp;DATE(2026,11,22))+SUMIFS(Rabu!$H$7:$H$206,Rabu!$C$7:$C$206,$B28,Rabu!$A$7:$A$206,"&gt;="&amp;DATE(2026,11,16),Rabu!$A$7:$A$206,"&lt;="&amp;DATE(2026,11,22))+SUMIFS(Kamis!$H$7:$H$186,Kamis!$C$7:$C$186,$B28,Kamis!$A$7:$A$186,"&gt;="&amp;DATE(2026,11,16),Kamis!$A$7:$A$186,"&lt;="&amp;DATE(2026,11,22))+SUMIFS(Jumat!$H$7:$H$186,Jumat!$C$7:$C$186,$B28,Jumat!$A$7:$A$186,"&gt;="&amp;DATE(2026,11,16),Jumat!$A$7:$A$186,"&lt;="&amp;DATE(2026,11,22))</f>
        <v>0</v>
      </c>
      <c r="W28" s="45">
        <f>SUMIFS(Senin!$H$7:$H$146,Senin!$C$7:$C$146,$B28,Senin!$A$7:$A$146,"&gt;="&amp;DATE(2026,11,23),Senin!$A$7:$A$146,"&lt;="&amp;DATE(2026,11,29))+SUMIFS(Selasa!$H$7:$H$166,Selasa!$C$7:$C$166,$B28,Selasa!$A$7:$A$166,"&gt;="&amp;DATE(2026,11,23),Selasa!$A$7:$A$166,"&lt;="&amp;DATE(2026,11,29))+SUMIFS(Rabu!$H$7:$H$206,Rabu!$C$7:$C$206,$B28,Rabu!$A$7:$A$206,"&gt;="&amp;DATE(2026,11,23),Rabu!$A$7:$A$206,"&lt;="&amp;DATE(2026,11,29))+SUMIFS(Kamis!$H$7:$H$186,Kamis!$C$7:$C$186,$B28,Kamis!$A$7:$A$186,"&gt;="&amp;DATE(2026,11,23),Kamis!$A$7:$A$186,"&lt;="&amp;DATE(2026,11,29))+SUMIFS(Jumat!$H$7:$H$186,Jumat!$C$7:$C$186,$B28,Jumat!$A$7:$A$186,"&gt;="&amp;DATE(2026,11,23),Jumat!$A$7:$A$186,"&lt;="&amp;DATE(2026,11,29))</f>
        <v>0</v>
      </c>
      <c r="X28" s="45">
        <f>SUMIFS(Senin!$H$7:$H$146,Senin!$C$7:$C$146,$B28,Senin!$A$7:$A$146,"&gt;="&amp;DATE(2026,11,30),Senin!$A$7:$A$146,"&lt;="&amp;DATE(2026,12,6))+SUMIFS(Selasa!$H$7:$H$166,Selasa!$C$7:$C$166,$B28,Selasa!$A$7:$A$166,"&gt;="&amp;DATE(2026,11,30),Selasa!$A$7:$A$166,"&lt;="&amp;DATE(2026,12,6))+SUMIFS(Rabu!$H$7:$H$206,Rabu!$C$7:$C$206,$B28,Rabu!$A$7:$A$206,"&gt;="&amp;DATE(2026,11,30),Rabu!$A$7:$A$206,"&lt;="&amp;DATE(2026,12,6))+SUMIFS(Kamis!$H$7:$H$186,Kamis!$C$7:$C$186,$B28,Kamis!$A$7:$A$186,"&gt;="&amp;DATE(2026,11,30),Kamis!$A$7:$A$186,"&lt;="&amp;DATE(2026,12,6))+SUMIFS(Jumat!$H$7:$H$186,Jumat!$C$7:$C$186,$B28,Jumat!$A$7:$A$186,"&gt;="&amp;DATE(2026,11,30),Jumat!$A$7:$A$186,"&lt;="&amp;DATE(2026,12,6))</f>
        <v>0</v>
      </c>
      <c r="Y28" s="45">
        <f>SUMIFS(Senin!$H$7:$H$146,Senin!$C$7:$C$146,$B28,Senin!$A$7:$A$146,"&gt;="&amp;DATE(2026,12,7),Senin!$A$7:$A$146,"&lt;="&amp;DATE(2026,12,13))+SUMIFS(Selasa!$H$7:$H$166,Selasa!$C$7:$C$166,$B28,Selasa!$A$7:$A$166,"&gt;="&amp;DATE(2026,12,7),Selasa!$A$7:$A$166,"&lt;="&amp;DATE(2026,12,13))+SUMIFS(Rabu!$H$7:$H$206,Rabu!$C$7:$C$206,$B28,Rabu!$A$7:$A$206,"&gt;="&amp;DATE(2026,12,7),Rabu!$A$7:$A$206,"&lt;="&amp;DATE(2026,12,13))+SUMIFS(Kamis!$H$7:$H$186,Kamis!$C$7:$C$186,$B28,Kamis!$A$7:$A$186,"&gt;="&amp;DATE(2026,12,7),Kamis!$A$7:$A$186,"&lt;="&amp;DATE(2026,12,13))+SUMIFS(Jumat!$H$7:$H$186,Jumat!$C$7:$C$186,$B28,Jumat!$A$7:$A$186,"&gt;="&amp;DATE(2026,12,7),Jumat!$A$7:$A$186,"&lt;="&amp;DATE(2026,12,13))</f>
        <v>0</v>
      </c>
      <c r="Z28" s="45">
        <f>SUMIFS(Senin!$H$7:$H$146,Senin!$C$7:$C$146,$B28,Senin!$A$7:$A$146,"&gt;="&amp;DATE(2026,12,14),Senin!$A$7:$A$146,"&lt;="&amp;DATE(2026,12,20))+SUMIFS(Selasa!$H$7:$H$166,Selasa!$C$7:$C$166,$B28,Selasa!$A$7:$A$166,"&gt;="&amp;DATE(2026,12,14),Selasa!$A$7:$A$166,"&lt;="&amp;DATE(2026,12,20))+SUMIFS(Rabu!$H$7:$H$206,Rabu!$C$7:$C$206,$B28,Rabu!$A$7:$A$206,"&gt;="&amp;DATE(2026,12,14),Rabu!$A$7:$A$206,"&lt;="&amp;DATE(2026,12,20))+SUMIFS(Kamis!$H$7:$H$186,Kamis!$C$7:$C$186,$B28,Kamis!$A$7:$A$186,"&gt;="&amp;DATE(2026,12,14),Kamis!$A$7:$A$186,"&lt;="&amp;DATE(2026,12,20))+SUMIFS(Jumat!$H$7:$H$186,Jumat!$C$7:$C$186,$B28,Jumat!$A$7:$A$186,"&gt;="&amp;DATE(2026,12,14),Jumat!$A$7:$A$186,"&lt;="&amp;DATE(2026,12,20))</f>
        <v>0</v>
      </c>
      <c r="AA28" s="45">
        <f>SUMIFS(Senin!$H$7:$H$146,Senin!$C$7:$C$146,$B28,Senin!$A$7:$A$146,"&gt;="&amp;DATE(2026,12,21),Senin!$A$7:$A$146,"&lt;="&amp;DATE(2026,12,27))+SUMIFS(Selasa!$H$7:$H$166,Selasa!$C$7:$C$166,$B28,Selasa!$A$7:$A$166,"&gt;="&amp;DATE(2026,12,21),Selasa!$A$7:$A$166,"&lt;="&amp;DATE(2026,12,27))+SUMIFS(Rabu!$H$7:$H$206,Rabu!$C$7:$C$206,$B28,Rabu!$A$7:$A$206,"&gt;="&amp;DATE(2026,12,21),Rabu!$A$7:$A$206,"&lt;="&amp;DATE(2026,12,27))+SUMIFS(Kamis!$H$7:$H$186,Kamis!$C$7:$C$186,$B28,Kamis!$A$7:$A$186,"&gt;="&amp;DATE(2026,12,21),Kamis!$A$7:$A$186,"&lt;="&amp;DATE(2026,12,27))+SUMIFS(Jumat!$H$7:$H$186,Jumat!$C$7:$C$186,$B28,Jumat!$A$7:$A$186,"&gt;="&amp;DATE(2026,12,21),Jumat!$A$7:$A$186,"&lt;="&amp;DATE(2026,12,27))</f>
        <v>0</v>
      </c>
      <c r="AB28" s="45">
        <f>SUMIFS(Senin!$H$7:$H$146,Senin!$C$7:$C$146,$B28,Senin!$A$7:$A$146,"&gt;="&amp;DATE(2026,12,28),Senin!$A$7:$A$146,"&lt;="&amp;DATE(2027,1,3))+SUMIFS(Selasa!$H$7:$H$166,Selasa!$C$7:$C$166,$B28,Selasa!$A$7:$A$166,"&gt;="&amp;DATE(2026,12,28),Selasa!$A$7:$A$166,"&lt;="&amp;DATE(2027,1,3))+SUMIFS(Rabu!$H$7:$H$206,Rabu!$C$7:$C$206,$B28,Rabu!$A$7:$A$206,"&gt;="&amp;DATE(2026,12,28),Rabu!$A$7:$A$206,"&lt;="&amp;DATE(2027,1,3))+SUMIFS(Kamis!$H$7:$H$186,Kamis!$C$7:$C$186,$B28,Kamis!$A$7:$A$186,"&gt;="&amp;DATE(2026,12,28),Kamis!$A$7:$A$186,"&lt;="&amp;DATE(2027,1,3))+SUMIFS(Jumat!$H$7:$H$186,Jumat!$C$7:$C$186,$B28,Jumat!$A$7:$A$186,"&gt;="&amp;DATE(2026,12,28),Jumat!$A$7:$A$186,"&lt;="&amp;DATE(2027,1,3))</f>
        <v>0</v>
      </c>
      <c r="AC28" s="45">
        <f>SUMIFS(Senin!$H$7:$H$146,Senin!$C$7:$C$146,$B28,Senin!$A$7:$A$146,"&gt;="&amp;DATE(2027,1,4),Senin!$A$7:$A$146,"&lt;="&amp;DATE(2027,1,10))+SUMIFS(Selasa!$H$7:$H$166,Selasa!$C$7:$C$166,$B28,Selasa!$A$7:$A$166,"&gt;="&amp;DATE(2027,1,4),Selasa!$A$7:$A$166,"&lt;="&amp;DATE(2027,1,10))+SUMIFS(Rabu!$H$7:$H$206,Rabu!$C$7:$C$206,$B28,Rabu!$A$7:$A$206,"&gt;="&amp;DATE(2027,1,4),Rabu!$A$7:$A$206,"&lt;="&amp;DATE(2027,1,10))+SUMIFS(Kamis!$H$7:$H$186,Kamis!$C$7:$C$186,$B28,Kamis!$A$7:$A$186,"&gt;="&amp;DATE(2027,1,4),Kamis!$A$7:$A$186,"&lt;="&amp;DATE(2027,1,10))+SUMIFS(Jumat!$H$7:$H$186,Jumat!$C$7:$C$186,$B28,Jumat!$A$7:$A$186,"&gt;="&amp;DATE(2027,1,4),Jumat!$A$7:$A$186,"&lt;="&amp;DATE(2027,1,10))</f>
        <v>0</v>
      </c>
      <c r="AD28" s="45">
        <f>SUMIFS(Senin!$H$7:$H$146,Senin!$C$7:$C$146,$B28,Senin!$A$7:$A$146,"&gt;="&amp;DATE(2027,1,11),Senin!$A$7:$A$146,"&lt;="&amp;DATE(2027,1,17))+SUMIFS(Selasa!$H$7:$H$166,Selasa!$C$7:$C$166,$B28,Selasa!$A$7:$A$166,"&gt;="&amp;DATE(2027,1,11),Selasa!$A$7:$A$166,"&lt;="&amp;DATE(2027,1,17))+SUMIFS(Rabu!$H$7:$H$206,Rabu!$C$7:$C$206,$B28,Rabu!$A$7:$A$206,"&gt;="&amp;DATE(2027,1,11),Rabu!$A$7:$A$206,"&lt;="&amp;DATE(2027,1,17))+SUMIFS(Kamis!$H$7:$H$186,Kamis!$C$7:$C$186,$B28,Kamis!$A$7:$A$186,"&gt;="&amp;DATE(2027,1,11),Kamis!$A$7:$A$186,"&lt;="&amp;DATE(2027,1,17))+SUMIFS(Jumat!$H$7:$H$186,Jumat!$C$7:$C$186,$B28,Jumat!$A$7:$A$186,"&gt;="&amp;DATE(2027,1,11),Jumat!$A$7:$A$186,"&lt;="&amp;DATE(2027,1,17))</f>
        <v>0</v>
      </c>
    </row>
    <row r="29" ht="15.75" customHeight="1">
      <c r="A29" s="27">
        <v>26.0</v>
      </c>
      <c r="B29" s="61" t="s">
        <v>39</v>
      </c>
      <c r="C29" s="41">
        <f>COUNTIFS(Senin!$C$7:$C$146,$B29,Senin!$G$7:$G$146,"Ya",Senin!$E$7:$E$146,"&lt;&gt;")+COUNTIFS(Selasa!$C$7:$C$166,$B29,Selasa!$G$7:$G$166,"Ya",Selasa!$E$7:$E$166,"&lt;&gt;")+COUNTIFS(Rabu!$C$7:$C$206,$B29,Rabu!$G$7:$G$206,"Ya",Rabu!$E$7:$E$206,"&lt;&gt;")+COUNTIFS(Kamis!$C$7:$C$186,$B29,Kamis!$G$7:$G$186,"Ya",Kamis!$E$7:$E$186,"&lt;&gt;")+COUNTIFS(Jumat!$C$7:$C$186,$B29,Jumat!$G$7:$G$186,"Ya",Jumat!$E$7:$E$186,"&lt;&gt;")</f>
        <v>0</v>
      </c>
      <c r="D29" s="41">
        <f>COUNTIFS(Senin!$C$7:$C$146,$B29,Senin!$G$7:$G$146,"Ya",Senin!$E$7:$E$146,"")+COUNTIFS(Selasa!$C$7:$C$166,$B29,Selasa!$G$7:$G$166,"Ya",Selasa!$E$7:$E$166,"")+COUNTIFS(Rabu!$C$7:$C$206,$B29,Rabu!$G$7:$G$206,"Ya",Rabu!$E$7:$E$206,"")+COUNTIFS(Kamis!$C$7:$C$186,$B29,Kamis!$G$7:$G$186,"Ya",Kamis!$E$7:$E$186,"")+COUNTIFS(Jumat!$C$7:$C$186,$B29,Jumat!$G$7:$G$186,"Ya",Jumat!$E$7:$E$186,"")</f>
        <v>0</v>
      </c>
      <c r="E29" s="45">
        <f>SUMIFS(Senin!$H$7:$H$146,Senin!$C$7:$C$146,$B29,Senin!$A$7:$A$146,"&gt;="&amp;DATE(2026,8,1),Senin!$A$7:$A$146,"&lt;="&amp;DATE(2026,12,31))+SUMIFS(Selasa!$H$7:$H$166,Selasa!$C$7:$C$166,$B29,Selasa!$A$7:$A$166,"&gt;="&amp;DATE(2026,8,1),Selasa!$A$7:$A$166,"&lt;="&amp;DATE(2026,12,31))+SUMIFS(Rabu!$H$7:$H$206,Rabu!$C$7:$C$206,$B29,Rabu!$A$7:$A$206,"&gt;="&amp;DATE(2026,8,1),Rabu!$A$7:$A$206,"&lt;="&amp;DATE(2026,12,31))+SUMIFS(Kamis!$H$7:$H$186,Kamis!$C$7:$C$186,$B29,Kamis!$A$7:$A$186,"&gt;="&amp;DATE(2026,8,1),Kamis!$A$7:$A$186,"&lt;="&amp;DATE(2026,12,31))+SUMIFS(Jumat!$H$7:$H$186,Jumat!$C$7:$C$186,$B29,Jumat!$A$7:$A$186,"&gt;="&amp;DATE(2026,8,1),Jumat!$A$7:$A$186,"&lt;="&amp;DATE(2026,12,31))</f>
        <v>0</v>
      </c>
      <c r="F29" s="45">
        <f>SUMIFS(Senin!$H$7:$H$146,Senin!$C$7:$C$146,$B29,Senin!$A$7:$A$146,"&gt;="&amp;DATE(2026,8,1),Senin!$A$7:$A$146,"&lt;="&amp;DATE(2026,8,31))+SUMIFS(Selasa!$H$7:$H$166,Selasa!$C$7:$C$166,$B29,Selasa!$A$7:$A$166,"&gt;="&amp;DATE(2026,8,1),Selasa!$A$7:$A$166,"&lt;="&amp;DATE(2026,8,31))+SUMIFS(Rabu!$H$7:$H$206,Rabu!$C$7:$C$206,$B29,Rabu!$A$7:$A$206,"&gt;="&amp;DATE(2026,8,1),Rabu!$A$7:$A$206,"&lt;="&amp;DATE(2026,8,31))+SUMIFS(Kamis!$H$7:$H$186,Kamis!$C$7:$C$186,$B29,Kamis!$A$7:$A$186,"&gt;="&amp;DATE(2026,8,1),Kamis!$A$7:$A$186,"&lt;="&amp;DATE(2026,8,31))+SUMIFS(Jumat!$H$7:$H$186,Jumat!$C$7:$C$186,$B29,Jumat!$A$7:$A$186,"&gt;="&amp;DATE(2026,8,1),Jumat!$A$7:$A$186,"&lt;="&amp;DATE(2026,8,31))</f>
        <v>0</v>
      </c>
      <c r="G29" s="45">
        <f>SUMIFS(Senin!$H$7:$H$146,Senin!$C$7:$C$146,$B29,Senin!$A$7:$A$146,"&gt;="&amp;DATE(2026,9,1),Senin!$A$7:$A$146,"&lt;="&amp;DATE(2026,9,30))+SUMIFS(Selasa!$H$7:$H$166,Selasa!$C$7:$C$166,$B29,Selasa!$A$7:$A$166,"&gt;="&amp;DATE(2026,9,1),Selasa!$A$7:$A$166,"&lt;="&amp;DATE(2026,9,30))+SUMIFS(Rabu!$H$7:$H$206,Rabu!$C$7:$C$206,$B29,Rabu!$A$7:$A$206,"&gt;="&amp;DATE(2026,9,1),Rabu!$A$7:$A$206,"&lt;="&amp;DATE(2026,9,30))+SUMIFS(Kamis!$H$7:$H$186,Kamis!$C$7:$C$186,$B29,Kamis!$A$7:$A$186,"&gt;="&amp;DATE(2026,9,1),Kamis!$A$7:$A$186,"&lt;="&amp;DATE(2026,9,30))+SUMIFS(Jumat!$H$7:$H$186,Jumat!$C$7:$C$186,$B29,Jumat!$A$7:$A$186,"&gt;="&amp;DATE(2026,9,1),Jumat!$A$7:$A$186,"&lt;="&amp;DATE(2026,9,30))</f>
        <v>0</v>
      </c>
      <c r="H29" s="45">
        <f>SUMIFS(Senin!$H$7:$H$146,Senin!$C$7:$C$146,$B29,Senin!$A$7:$A$146,"&gt;="&amp;DATE(2026,10,1),Senin!$A$7:$A$146,"&lt;="&amp;DATE(2026,10,31))+SUMIFS(Selasa!$H$7:$H$166,Selasa!$C$7:$C$166,$B29,Selasa!$A$7:$A$166,"&gt;="&amp;DATE(2026,10,1),Selasa!$A$7:$A$166,"&lt;="&amp;DATE(2026,10,31))+SUMIFS(Rabu!$H$7:$H$206,Rabu!$C$7:$C$206,$B29,Rabu!$A$7:$A$206,"&gt;="&amp;DATE(2026,10,1),Rabu!$A$7:$A$206,"&lt;="&amp;DATE(2026,10,31))+SUMIFS(Kamis!$H$7:$H$186,Kamis!$C$7:$C$186,$B29,Kamis!$A$7:$A$186,"&gt;="&amp;DATE(2026,10,1),Kamis!$A$7:$A$186,"&lt;="&amp;DATE(2026,10,31))+SUMIFS(Jumat!$H$7:$H$186,Jumat!$C$7:$C$186,$B29,Jumat!$A$7:$A$186,"&gt;="&amp;DATE(2026,10,1),Jumat!$A$7:$A$186,"&lt;="&amp;DATE(2026,10,31))</f>
        <v>0</v>
      </c>
      <c r="I29" s="45">
        <f>SUMIFS(Senin!$H$7:$H$146,Senin!$C$7:$C$146,$B29,Senin!$A$7:$A$146,"&gt;="&amp;DATE(2026,11,1),Senin!$A$7:$A$146,"&lt;="&amp;DATE(2026,11,30))+SUMIFS(Selasa!$H$7:$H$166,Selasa!$C$7:$C$166,$B29,Selasa!$A$7:$A$166,"&gt;="&amp;DATE(2026,11,1),Selasa!$A$7:$A$166,"&lt;="&amp;DATE(2026,11,30))+SUMIFS(Rabu!$H$7:$H$206,Rabu!$C$7:$C$206,$B29,Rabu!$A$7:$A$206,"&gt;="&amp;DATE(2026,11,1),Rabu!$A$7:$A$206,"&lt;="&amp;DATE(2026,11,30))+SUMIFS(Kamis!$H$7:$H$186,Kamis!$C$7:$C$186,$B29,Kamis!$A$7:$A$186,"&gt;="&amp;DATE(2026,11,1),Kamis!$A$7:$A$186,"&lt;="&amp;DATE(2026,11,30))+SUMIFS(Jumat!$H$7:$H$186,Jumat!$C$7:$C$186,$B29,Jumat!$A$7:$A$186,"&gt;="&amp;DATE(2026,11,1),Jumat!$A$7:$A$186,"&lt;="&amp;DATE(2026,11,30))</f>
        <v>0</v>
      </c>
      <c r="J29" s="45">
        <f>SUMIFS(Senin!$H$7:$H$146,Senin!$C$7:$C$146,$B29,Senin!$A$7:$A$146,"&gt;="&amp;DATE(2026,12,1),Senin!$A$7:$A$146,"&lt;="&amp;DATE(2026,12,31))+SUMIFS(Selasa!$H$7:$H$166,Selasa!$C$7:$C$166,$B29,Selasa!$A$7:$A$166,"&gt;="&amp;DATE(2026,12,1),Selasa!$A$7:$A$166,"&lt;="&amp;DATE(2026,12,31))+SUMIFS(Rabu!$H$7:$H$206,Rabu!$C$7:$C$206,$B29,Rabu!$A$7:$A$206,"&gt;="&amp;DATE(2026,12,1),Rabu!$A$7:$A$206,"&lt;="&amp;DATE(2026,12,31))+SUMIFS(Kamis!$H$7:$H$186,Kamis!$C$7:$C$186,$B29,Kamis!$A$7:$A$186,"&gt;="&amp;DATE(2026,12,1),Kamis!$A$7:$A$186,"&lt;="&amp;DATE(2026,12,31))+SUMIFS(Jumat!$H$7:$H$186,Jumat!$C$7:$C$186,$B29,Jumat!$A$7:$A$186,"&gt;="&amp;DATE(2026,12,1),Jumat!$A$7:$A$186,"&lt;="&amp;DATE(2026,12,31))</f>
        <v>0</v>
      </c>
      <c r="K29" s="45">
        <f>SUMIFS(Senin!$H$7:$H$146,Senin!$C$7:$C$146,$B29,Senin!$A$7:$A$146,"&gt;="&amp;DATE(2026,8,31),Senin!$A$7:$A$146,"&lt;="&amp;DATE(2026,9,6))+SUMIFS(Selasa!$H$7:$H$166,Selasa!$C$7:$C$166,$B29,Selasa!$A$7:$A$166,"&gt;="&amp;DATE(2026,8,31),Selasa!$A$7:$A$166,"&lt;="&amp;DATE(2026,9,6))+SUMIFS(Rabu!$H$7:$H$206,Rabu!$C$7:$C$206,$B29,Rabu!$A$7:$A$206,"&gt;="&amp;DATE(2026,8,31),Rabu!$A$7:$A$206,"&lt;="&amp;DATE(2026,9,6))+SUMIFS(Kamis!$H$7:$H$186,Kamis!$C$7:$C$186,$B29,Kamis!$A$7:$A$186,"&gt;="&amp;DATE(2026,8,31),Kamis!$A$7:$A$186,"&lt;="&amp;DATE(2026,9,6))+SUMIFS(Jumat!$H$7:$H$186,Jumat!$C$7:$C$186,$B29,Jumat!$A$7:$A$186,"&gt;="&amp;DATE(2026,8,31),Jumat!$A$7:$A$186,"&lt;="&amp;DATE(2026,9,6))</f>
        <v>0</v>
      </c>
      <c r="L29" s="45">
        <f>SUMIFS(Senin!$H$7:$H$146,Senin!$C$7:$C$146,$B29,Senin!$A$7:$A$146,"&gt;="&amp;DATE(2026,9,7),Senin!$A$7:$A$146,"&lt;="&amp;DATE(2026,9,13))+SUMIFS(Selasa!$H$7:$H$166,Selasa!$C$7:$C$166,$B29,Selasa!$A$7:$A$166,"&gt;="&amp;DATE(2026,9,7),Selasa!$A$7:$A$166,"&lt;="&amp;DATE(2026,9,13))+SUMIFS(Rabu!$H$7:$H$206,Rabu!$C$7:$C$206,$B29,Rabu!$A$7:$A$206,"&gt;="&amp;DATE(2026,9,7),Rabu!$A$7:$A$206,"&lt;="&amp;DATE(2026,9,13))+SUMIFS(Kamis!$H$7:$H$186,Kamis!$C$7:$C$186,$B29,Kamis!$A$7:$A$186,"&gt;="&amp;DATE(2026,9,7),Kamis!$A$7:$A$186,"&lt;="&amp;DATE(2026,9,13))+SUMIFS(Jumat!$H$7:$H$186,Jumat!$C$7:$C$186,$B29,Jumat!$A$7:$A$186,"&gt;="&amp;DATE(2026,9,7),Jumat!$A$7:$A$186,"&lt;="&amp;DATE(2026,9,13))</f>
        <v>0</v>
      </c>
      <c r="M29" s="45">
        <f>SUMIFS(Senin!$H$7:$H$146,Senin!$C$7:$C$146,$B29,Senin!$A$7:$A$146,"&gt;="&amp;DATE(2026,9,14),Senin!$A$7:$A$146,"&lt;="&amp;DATE(2026,9,20))+SUMIFS(Selasa!$H$7:$H$166,Selasa!$C$7:$C$166,$B29,Selasa!$A$7:$A$166,"&gt;="&amp;DATE(2026,9,14),Selasa!$A$7:$A$166,"&lt;="&amp;DATE(2026,9,20))+SUMIFS(Rabu!$H$7:$H$206,Rabu!$C$7:$C$206,$B29,Rabu!$A$7:$A$206,"&gt;="&amp;DATE(2026,9,14),Rabu!$A$7:$A$206,"&lt;="&amp;DATE(2026,9,20))+SUMIFS(Kamis!$H$7:$H$186,Kamis!$C$7:$C$186,$B29,Kamis!$A$7:$A$186,"&gt;="&amp;DATE(2026,9,14),Kamis!$A$7:$A$186,"&lt;="&amp;DATE(2026,9,20))+SUMIFS(Jumat!$H$7:$H$186,Jumat!$C$7:$C$186,$B29,Jumat!$A$7:$A$186,"&gt;="&amp;DATE(2026,9,14),Jumat!$A$7:$A$186,"&lt;="&amp;DATE(2026,9,20))</f>
        <v>0</v>
      </c>
      <c r="N29" s="45">
        <f>SUMIFS(Senin!$H$7:$H$146,Senin!$C$7:$C$146,$B29,Senin!$A$7:$A$146,"&gt;="&amp;DATE(2026,9,21),Senin!$A$7:$A$146,"&lt;="&amp;DATE(2026,9,27))+SUMIFS(Selasa!$H$7:$H$166,Selasa!$C$7:$C$166,$B29,Selasa!$A$7:$A$166,"&gt;="&amp;DATE(2026,9,21),Selasa!$A$7:$A$166,"&lt;="&amp;DATE(2026,9,27))+SUMIFS(Rabu!$H$7:$H$206,Rabu!$C$7:$C$206,$B29,Rabu!$A$7:$A$206,"&gt;="&amp;DATE(2026,9,21),Rabu!$A$7:$A$206,"&lt;="&amp;DATE(2026,9,27))+SUMIFS(Kamis!$H$7:$H$186,Kamis!$C$7:$C$186,$B29,Kamis!$A$7:$A$186,"&gt;="&amp;DATE(2026,9,21),Kamis!$A$7:$A$186,"&lt;="&amp;DATE(2026,9,27))+SUMIFS(Jumat!$H$7:$H$186,Jumat!$C$7:$C$186,$B29,Jumat!$A$7:$A$186,"&gt;="&amp;DATE(2026,9,21),Jumat!$A$7:$A$186,"&lt;="&amp;DATE(2026,9,27))</f>
        <v>0</v>
      </c>
      <c r="O29" s="45">
        <f>SUMIFS(Senin!$H$7:$H$146,Senin!$C$7:$C$146,$B29,Senin!$A$7:$A$146,"&gt;="&amp;DATE(2026,9,28),Senin!$A$7:$A$146,"&lt;="&amp;DATE(2026,10,4))+SUMIFS(Selasa!$H$7:$H$166,Selasa!$C$7:$C$166,$B29,Selasa!$A$7:$A$166,"&gt;="&amp;DATE(2026,9,28),Selasa!$A$7:$A$166,"&lt;="&amp;DATE(2026,10,4))+SUMIFS(Rabu!$H$7:$H$206,Rabu!$C$7:$C$206,$B29,Rabu!$A$7:$A$206,"&gt;="&amp;DATE(2026,9,28),Rabu!$A$7:$A$206,"&lt;="&amp;DATE(2026,10,4))+SUMIFS(Kamis!$H$7:$H$186,Kamis!$C$7:$C$186,$B29,Kamis!$A$7:$A$186,"&gt;="&amp;DATE(2026,9,28),Kamis!$A$7:$A$186,"&lt;="&amp;DATE(2026,10,4))+SUMIFS(Jumat!$H$7:$H$186,Jumat!$C$7:$C$186,$B29,Jumat!$A$7:$A$186,"&gt;="&amp;DATE(2026,9,28),Jumat!$A$7:$A$186,"&lt;="&amp;DATE(2026,10,4))</f>
        <v>0</v>
      </c>
      <c r="P29" s="45">
        <f>SUMIFS(Senin!$H$7:$H$146,Senin!$C$7:$C$146,$B29,Senin!$A$7:$A$146,"&gt;="&amp;DATE(2026,10,5),Senin!$A$7:$A$146,"&lt;="&amp;DATE(2026,10,11))+SUMIFS(Selasa!$H$7:$H$166,Selasa!$C$7:$C$166,$B29,Selasa!$A$7:$A$166,"&gt;="&amp;DATE(2026,10,5),Selasa!$A$7:$A$166,"&lt;="&amp;DATE(2026,10,11))+SUMIFS(Rabu!$H$7:$H$206,Rabu!$C$7:$C$206,$B29,Rabu!$A$7:$A$206,"&gt;="&amp;DATE(2026,10,5),Rabu!$A$7:$A$206,"&lt;="&amp;DATE(2026,10,11))+SUMIFS(Kamis!$H$7:$H$186,Kamis!$C$7:$C$186,$B29,Kamis!$A$7:$A$186,"&gt;="&amp;DATE(2026,10,5),Kamis!$A$7:$A$186,"&lt;="&amp;DATE(2026,10,11))+SUMIFS(Jumat!$H$7:$H$186,Jumat!$C$7:$C$186,$B29,Jumat!$A$7:$A$186,"&gt;="&amp;DATE(2026,10,5),Jumat!$A$7:$A$186,"&lt;="&amp;DATE(2026,10,11))</f>
        <v>0</v>
      </c>
      <c r="Q29" s="45">
        <f>SUMIFS(Senin!$H$7:$H$146,Senin!$C$7:$C$146,$B29,Senin!$A$7:$A$146,"&gt;="&amp;DATE(2026,10,12),Senin!$A$7:$A$146,"&lt;="&amp;DATE(2026,10,18))+SUMIFS(Selasa!$H$7:$H$166,Selasa!$C$7:$C$166,$B29,Selasa!$A$7:$A$166,"&gt;="&amp;DATE(2026,10,12),Selasa!$A$7:$A$166,"&lt;="&amp;DATE(2026,10,18))+SUMIFS(Rabu!$H$7:$H$206,Rabu!$C$7:$C$206,$B29,Rabu!$A$7:$A$206,"&gt;="&amp;DATE(2026,10,12),Rabu!$A$7:$A$206,"&lt;="&amp;DATE(2026,10,18))+SUMIFS(Kamis!$H$7:$H$186,Kamis!$C$7:$C$186,$B29,Kamis!$A$7:$A$186,"&gt;="&amp;DATE(2026,10,12),Kamis!$A$7:$A$186,"&lt;="&amp;DATE(2026,10,18))+SUMIFS(Jumat!$H$7:$H$186,Jumat!$C$7:$C$186,$B29,Jumat!$A$7:$A$186,"&gt;="&amp;DATE(2026,10,12),Jumat!$A$7:$A$186,"&lt;="&amp;DATE(2026,10,18))</f>
        <v>0</v>
      </c>
      <c r="R29" s="45">
        <f>SUMIFS(Senin!$H$7:$H$146,Senin!$C$7:$C$146,$B29,Senin!$A$7:$A$146,"&gt;="&amp;DATE(2026,10,19),Senin!$A$7:$A$146,"&lt;="&amp;DATE(2026,10,25))+SUMIFS(Selasa!$H$7:$H$166,Selasa!$C$7:$C$166,$B29,Selasa!$A$7:$A$166,"&gt;="&amp;DATE(2026,10,19),Selasa!$A$7:$A$166,"&lt;="&amp;DATE(2026,10,25))+SUMIFS(Rabu!$H$7:$H$206,Rabu!$C$7:$C$206,$B29,Rabu!$A$7:$A$206,"&gt;="&amp;DATE(2026,10,19),Rabu!$A$7:$A$206,"&lt;="&amp;DATE(2026,10,25))+SUMIFS(Kamis!$H$7:$H$186,Kamis!$C$7:$C$186,$B29,Kamis!$A$7:$A$186,"&gt;="&amp;DATE(2026,10,19),Kamis!$A$7:$A$186,"&lt;="&amp;DATE(2026,10,25))+SUMIFS(Jumat!$H$7:$H$186,Jumat!$C$7:$C$186,$B29,Jumat!$A$7:$A$186,"&gt;="&amp;DATE(2026,10,19),Jumat!$A$7:$A$186,"&lt;="&amp;DATE(2026,10,25))</f>
        <v>0</v>
      </c>
      <c r="S29" s="45">
        <f>SUMIFS(Senin!$H$7:$H$146,Senin!$C$7:$C$146,$B29,Senin!$A$7:$A$146,"&gt;="&amp;DATE(2026,10,26),Senin!$A$7:$A$146,"&lt;="&amp;DATE(2026,11,1))+SUMIFS(Selasa!$H$7:$H$166,Selasa!$C$7:$C$166,$B29,Selasa!$A$7:$A$166,"&gt;="&amp;DATE(2026,10,26),Selasa!$A$7:$A$166,"&lt;="&amp;DATE(2026,11,1))+SUMIFS(Rabu!$H$7:$H$206,Rabu!$C$7:$C$206,$B29,Rabu!$A$7:$A$206,"&gt;="&amp;DATE(2026,10,26),Rabu!$A$7:$A$206,"&lt;="&amp;DATE(2026,11,1))+SUMIFS(Kamis!$H$7:$H$186,Kamis!$C$7:$C$186,$B29,Kamis!$A$7:$A$186,"&gt;="&amp;DATE(2026,10,26),Kamis!$A$7:$A$186,"&lt;="&amp;DATE(2026,11,1))+SUMIFS(Jumat!$H$7:$H$186,Jumat!$C$7:$C$186,$B29,Jumat!$A$7:$A$186,"&gt;="&amp;DATE(2026,10,26),Jumat!$A$7:$A$186,"&lt;="&amp;DATE(2026,11,1))</f>
        <v>0</v>
      </c>
      <c r="T29" s="45">
        <f>SUMIFS(Senin!$H$7:$H$146,Senin!$C$7:$C$146,$B29,Senin!$A$7:$A$146,"&gt;="&amp;DATE(2026,11,2),Senin!$A$7:$A$146,"&lt;="&amp;DATE(2026,11,8))+SUMIFS(Selasa!$H$7:$H$166,Selasa!$C$7:$C$166,$B29,Selasa!$A$7:$A$166,"&gt;="&amp;DATE(2026,11,2),Selasa!$A$7:$A$166,"&lt;="&amp;DATE(2026,11,8))+SUMIFS(Rabu!$H$7:$H$206,Rabu!$C$7:$C$206,$B29,Rabu!$A$7:$A$206,"&gt;="&amp;DATE(2026,11,2),Rabu!$A$7:$A$206,"&lt;="&amp;DATE(2026,11,8))+SUMIFS(Kamis!$H$7:$H$186,Kamis!$C$7:$C$186,$B29,Kamis!$A$7:$A$186,"&gt;="&amp;DATE(2026,11,2),Kamis!$A$7:$A$186,"&lt;="&amp;DATE(2026,11,8))+SUMIFS(Jumat!$H$7:$H$186,Jumat!$C$7:$C$186,$B29,Jumat!$A$7:$A$186,"&gt;="&amp;DATE(2026,11,2),Jumat!$A$7:$A$186,"&lt;="&amp;DATE(2026,11,8))</f>
        <v>0</v>
      </c>
      <c r="U29" s="45">
        <f>SUMIFS(Senin!$H$7:$H$146,Senin!$C$7:$C$146,$B29,Senin!$A$7:$A$146,"&gt;="&amp;DATE(2026,11,9),Senin!$A$7:$A$146,"&lt;="&amp;DATE(2026,11,15))+SUMIFS(Selasa!$H$7:$H$166,Selasa!$C$7:$C$166,$B29,Selasa!$A$7:$A$166,"&gt;="&amp;DATE(2026,11,9),Selasa!$A$7:$A$166,"&lt;="&amp;DATE(2026,11,15))+SUMIFS(Rabu!$H$7:$H$206,Rabu!$C$7:$C$206,$B29,Rabu!$A$7:$A$206,"&gt;="&amp;DATE(2026,11,9),Rabu!$A$7:$A$206,"&lt;="&amp;DATE(2026,11,15))+SUMIFS(Kamis!$H$7:$H$186,Kamis!$C$7:$C$186,$B29,Kamis!$A$7:$A$186,"&gt;="&amp;DATE(2026,11,9),Kamis!$A$7:$A$186,"&lt;="&amp;DATE(2026,11,15))+SUMIFS(Jumat!$H$7:$H$186,Jumat!$C$7:$C$186,$B29,Jumat!$A$7:$A$186,"&gt;="&amp;DATE(2026,11,9),Jumat!$A$7:$A$186,"&lt;="&amp;DATE(2026,11,15))</f>
        <v>0</v>
      </c>
      <c r="V29" s="45">
        <f>SUMIFS(Senin!$H$7:$H$146,Senin!$C$7:$C$146,$B29,Senin!$A$7:$A$146,"&gt;="&amp;DATE(2026,11,16),Senin!$A$7:$A$146,"&lt;="&amp;DATE(2026,11,22))+SUMIFS(Selasa!$H$7:$H$166,Selasa!$C$7:$C$166,$B29,Selasa!$A$7:$A$166,"&gt;="&amp;DATE(2026,11,16),Selasa!$A$7:$A$166,"&lt;="&amp;DATE(2026,11,22))+SUMIFS(Rabu!$H$7:$H$206,Rabu!$C$7:$C$206,$B29,Rabu!$A$7:$A$206,"&gt;="&amp;DATE(2026,11,16),Rabu!$A$7:$A$206,"&lt;="&amp;DATE(2026,11,22))+SUMIFS(Kamis!$H$7:$H$186,Kamis!$C$7:$C$186,$B29,Kamis!$A$7:$A$186,"&gt;="&amp;DATE(2026,11,16),Kamis!$A$7:$A$186,"&lt;="&amp;DATE(2026,11,22))+SUMIFS(Jumat!$H$7:$H$186,Jumat!$C$7:$C$186,$B29,Jumat!$A$7:$A$186,"&gt;="&amp;DATE(2026,11,16),Jumat!$A$7:$A$186,"&lt;="&amp;DATE(2026,11,22))</f>
        <v>0</v>
      </c>
      <c r="W29" s="45">
        <f>SUMIFS(Senin!$H$7:$H$146,Senin!$C$7:$C$146,$B29,Senin!$A$7:$A$146,"&gt;="&amp;DATE(2026,11,23),Senin!$A$7:$A$146,"&lt;="&amp;DATE(2026,11,29))+SUMIFS(Selasa!$H$7:$H$166,Selasa!$C$7:$C$166,$B29,Selasa!$A$7:$A$166,"&gt;="&amp;DATE(2026,11,23),Selasa!$A$7:$A$166,"&lt;="&amp;DATE(2026,11,29))+SUMIFS(Rabu!$H$7:$H$206,Rabu!$C$7:$C$206,$B29,Rabu!$A$7:$A$206,"&gt;="&amp;DATE(2026,11,23),Rabu!$A$7:$A$206,"&lt;="&amp;DATE(2026,11,29))+SUMIFS(Kamis!$H$7:$H$186,Kamis!$C$7:$C$186,$B29,Kamis!$A$7:$A$186,"&gt;="&amp;DATE(2026,11,23),Kamis!$A$7:$A$186,"&lt;="&amp;DATE(2026,11,29))+SUMIFS(Jumat!$H$7:$H$186,Jumat!$C$7:$C$186,$B29,Jumat!$A$7:$A$186,"&gt;="&amp;DATE(2026,11,23),Jumat!$A$7:$A$186,"&lt;="&amp;DATE(2026,11,29))</f>
        <v>0</v>
      </c>
      <c r="X29" s="45">
        <f>SUMIFS(Senin!$H$7:$H$146,Senin!$C$7:$C$146,$B29,Senin!$A$7:$A$146,"&gt;="&amp;DATE(2026,11,30),Senin!$A$7:$A$146,"&lt;="&amp;DATE(2026,12,6))+SUMIFS(Selasa!$H$7:$H$166,Selasa!$C$7:$C$166,$B29,Selasa!$A$7:$A$166,"&gt;="&amp;DATE(2026,11,30),Selasa!$A$7:$A$166,"&lt;="&amp;DATE(2026,12,6))+SUMIFS(Rabu!$H$7:$H$206,Rabu!$C$7:$C$206,$B29,Rabu!$A$7:$A$206,"&gt;="&amp;DATE(2026,11,30),Rabu!$A$7:$A$206,"&lt;="&amp;DATE(2026,12,6))+SUMIFS(Kamis!$H$7:$H$186,Kamis!$C$7:$C$186,$B29,Kamis!$A$7:$A$186,"&gt;="&amp;DATE(2026,11,30),Kamis!$A$7:$A$186,"&lt;="&amp;DATE(2026,12,6))+SUMIFS(Jumat!$H$7:$H$186,Jumat!$C$7:$C$186,$B29,Jumat!$A$7:$A$186,"&gt;="&amp;DATE(2026,11,30),Jumat!$A$7:$A$186,"&lt;="&amp;DATE(2026,12,6))</f>
        <v>0</v>
      </c>
      <c r="Y29" s="45">
        <f>SUMIFS(Senin!$H$7:$H$146,Senin!$C$7:$C$146,$B29,Senin!$A$7:$A$146,"&gt;="&amp;DATE(2026,12,7),Senin!$A$7:$A$146,"&lt;="&amp;DATE(2026,12,13))+SUMIFS(Selasa!$H$7:$H$166,Selasa!$C$7:$C$166,$B29,Selasa!$A$7:$A$166,"&gt;="&amp;DATE(2026,12,7),Selasa!$A$7:$A$166,"&lt;="&amp;DATE(2026,12,13))+SUMIFS(Rabu!$H$7:$H$206,Rabu!$C$7:$C$206,$B29,Rabu!$A$7:$A$206,"&gt;="&amp;DATE(2026,12,7),Rabu!$A$7:$A$206,"&lt;="&amp;DATE(2026,12,13))+SUMIFS(Kamis!$H$7:$H$186,Kamis!$C$7:$C$186,$B29,Kamis!$A$7:$A$186,"&gt;="&amp;DATE(2026,12,7),Kamis!$A$7:$A$186,"&lt;="&amp;DATE(2026,12,13))+SUMIFS(Jumat!$H$7:$H$186,Jumat!$C$7:$C$186,$B29,Jumat!$A$7:$A$186,"&gt;="&amp;DATE(2026,12,7),Jumat!$A$7:$A$186,"&lt;="&amp;DATE(2026,12,13))</f>
        <v>0</v>
      </c>
      <c r="Z29" s="45">
        <f>SUMIFS(Senin!$H$7:$H$146,Senin!$C$7:$C$146,$B29,Senin!$A$7:$A$146,"&gt;="&amp;DATE(2026,12,14),Senin!$A$7:$A$146,"&lt;="&amp;DATE(2026,12,20))+SUMIFS(Selasa!$H$7:$H$166,Selasa!$C$7:$C$166,$B29,Selasa!$A$7:$A$166,"&gt;="&amp;DATE(2026,12,14),Selasa!$A$7:$A$166,"&lt;="&amp;DATE(2026,12,20))+SUMIFS(Rabu!$H$7:$H$206,Rabu!$C$7:$C$206,$B29,Rabu!$A$7:$A$206,"&gt;="&amp;DATE(2026,12,14),Rabu!$A$7:$A$206,"&lt;="&amp;DATE(2026,12,20))+SUMIFS(Kamis!$H$7:$H$186,Kamis!$C$7:$C$186,$B29,Kamis!$A$7:$A$186,"&gt;="&amp;DATE(2026,12,14),Kamis!$A$7:$A$186,"&lt;="&amp;DATE(2026,12,20))+SUMIFS(Jumat!$H$7:$H$186,Jumat!$C$7:$C$186,$B29,Jumat!$A$7:$A$186,"&gt;="&amp;DATE(2026,12,14),Jumat!$A$7:$A$186,"&lt;="&amp;DATE(2026,12,20))</f>
        <v>0</v>
      </c>
      <c r="AA29" s="45">
        <f>SUMIFS(Senin!$H$7:$H$146,Senin!$C$7:$C$146,$B29,Senin!$A$7:$A$146,"&gt;="&amp;DATE(2026,12,21),Senin!$A$7:$A$146,"&lt;="&amp;DATE(2026,12,27))+SUMIFS(Selasa!$H$7:$H$166,Selasa!$C$7:$C$166,$B29,Selasa!$A$7:$A$166,"&gt;="&amp;DATE(2026,12,21),Selasa!$A$7:$A$166,"&lt;="&amp;DATE(2026,12,27))+SUMIFS(Rabu!$H$7:$H$206,Rabu!$C$7:$C$206,$B29,Rabu!$A$7:$A$206,"&gt;="&amp;DATE(2026,12,21),Rabu!$A$7:$A$206,"&lt;="&amp;DATE(2026,12,27))+SUMIFS(Kamis!$H$7:$H$186,Kamis!$C$7:$C$186,$B29,Kamis!$A$7:$A$186,"&gt;="&amp;DATE(2026,12,21),Kamis!$A$7:$A$186,"&lt;="&amp;DATE(2026,12,27))+SUMIFS(Jumat!$H$7:$H$186,Jumat!$C$7:$C$186,$B29,Jumat!$A$7:$A$186,"&gt;="&amp;DATE(2026,12,21),Jumat!$A$7:$A$186,"&lt;="&amp;DATE(2026,12,27))</f>
        <v>0</v>
      </c>
      <c r="AB29" s="45">
        <f>SUMIFS(Senin!$H$7:$H$146,Senin!$C$7:$C$146,$B29,Senin!$A$7:$A$146,"&gt;="&amp;DATE(2026,12,28),Senin!$A$7:$A$146,"&lt;="&amp;DATE(2027,1,3))+SUMIFS(Selasa!$H$7:$H$166,Selasa!$C$7:$C$166,$B29,Selasa!$A$7:$A$166,"&gt;="&amp;DATE(2026,12,28),Selasa!$A$7:$A$166,"&lt;="&amp;DATE(2027,1,3))+SUMIFS(Rabu!$H$7:$H$206,Rabu!$C$7:$C$206,$B29,Rabu!$A$7:$A$206,"&gt;="&amp;DATE(2026,12,28),Rabu!$A$7:$A$206,"&lt;="&amp;DATE(2027,1,3))+SUMIFS(Kamis!$H$7:$H$186,Kamis!$C$7:$C$186,$B29,Kamis!$A$7:$A$186,"&gt;="&amp;DATE(2026,12,28),Kamis!$A$7:$A$186,"&lt;="&amp;DATE(2027,1,3))+SUMIFS(Jumat!$H$7:$H$186,Jumat!$C$7:$C$186,$B29,Jumat!$A$7:$A$186,"&gt;="&amp;DATE(2026,12,28),Jumat!$A$7:$A$186,"&lt;="&amp;DATE(2027,1,3))</f>
        <v>0</v>
      </c>
      <c r="AC29" s="45">
        <f>SUMIFS(Senin!$H$7:$H$146,Senin!$C$7:$C$146,$B29,Senin!$A$7:$A$146,"&gt;="&amp;DATE(2027,1,4),Senin!$A$7:$A$146,"&lt;="&amp;DATE(2027,1,10))+SUMIFS(Selasa!$H$7:$H$166,Selasa!$C$7:$C$166,$B29,Selasa!$A$7:$A$166,"&gt;="&amp;DATE(2027,1,4),Selasa!$A$7:$A$166,"&lt;="&amp;DATE(2027,1,10))+SUMIFS(Rabu!$H$7:$H$206,Rabu!$C$7:$C$206,$B29,Rabu!$A$7:$A$206,"&gt;="&amp;DATE(2027,1,4),Rabu!$A$7:$A$206,"&lt;="&amp;DATE(2027,1,10))+SUMIFS(Kamis!$H$7:$H$186,Kamis!$C$7:$C$186,$B29,Kamis!$A$7:$A$186,"&gt;="&amp;DATE(2027,1,4),Kamis!$A$7:$A$186,"&lt;="&amp;DATE(2027,1,10))+SUMIFS(Jumat!$H$7:$H$186,Jumat!$C$7:$C$186,$B29,Jumat!$A$7:$A$186,"&gt;="&amp;DATE(2027,1,4),Jumat!$A$7:$A$186,"&lt;="&amp;DATE(2027,1,10))</f>
        <v>0</v>
      </c>
      <c r="AD29" s="45">
        <f>SUMIFS(Senin!$H$7:$H$146,Senin!$C$7:$C$146,$B29,Senin!$A$7:$A$146,"&gt;="&amp;DATE(2027,1,11),Senin!$A$7:$A$146,"&lt;="&amp;DATE(2027,1,17))+SUMIFS(Selasa!$H$7:$H$166,Selasa!$C$7:$C$166,$B29,Selasa!$A$7:$A$166,"&gt;="&amp;DATE(2027,1,11),Selasa!$A$7:$A$166,"&lt;="&amp;DATE(2027,1,17))+SUMIFS(Rabu!$H$7:$H$206,Rabu!$C$7:$C$206,$B29,Rabu!$A$7:$A$206,"&gt;="&amp;DATE(2027,1,11),Rabu!$A$7:$A$206,"&lt;="&amp;DATE(2027,1,17))+SUMIFS(Kamis!$H$7:$H$186,Kamis!$C$7:$C$186,$B29,Kamis!$A$7:$A$186,"&gt;="&amp;DATE(2027,1,11),Kamis!$A$7:$A$186,"&lt;="&amp;DATE(2027,1,17))+SUMIFS(Jumat!$H$7:$H$186,Jumat!$C$7:$C$186,$B29,Jumat!$A$7:$A$186,"&gt;="&amp;DATE(2027,1,11),Jumat!$A$7:$A$186,"&lt;="&amp;DATE(2027,1,17))</f>
        <v>0</v>
      </c>
    </row>
    <row r="30" ht="15.75" customHeight="1">
      <c r="A30" s="27">
        <v>27.0</v>
      </c>
      <c r="B30" s="61" t="s">
        <v>54</v>
      </c>
      <c r="C30" s="41">
        <f>COUNTIFS(Senin!$C$7:$C$146,$B30,Senin!$G$7:$G$146,"Ya",Senin!$E$7:$E$146,"&lt;&gt;")+COUNTIFS(Selasa!$C$7:$C$166,$B30,Selasa!$G$7:$G$166,"Ya",Selasa!$E$7:$E$166,"&lt;&gt;")+COUNTIFS(Rabu!$C$7:$C$206,$B30,Rabu!$G$7:$G$206,"Ya",Rabu!$E$7:$E$206,"&lt;&gt;")+COUNTIFS(Kamis!$C$7:$C$186,$B30,Kamis!$G$7:$G$186,"Ya",Kamis!$E$7:$E$186,"&lt;&gt;")+COUNTIFS(Jumat!$C$7:$C$186,$B30,Jumat!$G$7:$G$186,"Ya",Jumat!$E$7:$E$186,"&lt;&gt;")</f>
        <v>0</v>
      </c>
      <c r="D30" s="41">
        <f>COUNTIFS(Senin!$C$7:$C$146,$B30,Senin!$G$7:$G$146,"Ya",Senin!$E$7:$E$146,"")+COUNTIFS(Selasa!$C$7:$C$166,$B30,Selasa!$G$7:$G$166,"Ya",Selasa!$E$7:$E$166,"")+COUNTIFS(Rabu!$C$7:$C$206,$B30,Rabu!$G$7:$G$206,"Ya",Rabu!$E$7:$E$206,"")+COUNTIFS(Kamis!$C$7:$C$186,$B30,Kamis!$G$7:$G$186,"Ya",Kamis!$E$7:$E$186,"")+COUNTIFS(Jumat!$C$7:$C$186,$B30,Jumat!$G$7:$G$186,"Ya",Jumat!$E$7:$E$186,"")</f>
        <v>0</v>
      </c>
      <c r="E30" s="45">
        <f>SUMIFS(Senin!$H$7:$H$146,Senin!$C$7:$C$146,$B30,Senin!$A$7:$A$146,"&gt;="&amp;DATE(2026,8,1),Senin!$A$7:$A$146,"&lt;="&amp;DATE(2026,12,31))+SUMIFS(Selasa!$H$7:$H$166,Selasa!$C$7:$C$166,$B30,Selasa!$A$7:$A$166,"&gt;="&amp;DATE(2026,8,1),Selasa!$A$7:$A$166,"&lt;="&amp;DATE(2026,12,31))+SUMIFS(Rabu!$H$7:$H$206,Rabu!$C$7:$C$206,$B30,Rabu!$A$7:$A$206,"&gt;="&amp;DATE(2026,8,1),Rabu!$A$7:$A$206,"&lt;="&amp;DATE(2026,12,31))+SUMIFS(Kamis!$H$7:$H$186,Kamis!$C$7:$C$186,$B30,Kamis!$A$7:$A$186,"&gt;="&amp;DATE(2026,8,1),Kamis!$A$7:$A$186,"&lt;="&amp;DATE(2026,12,31))+SUMIFS(Jumat!$H$7:$H$186,Jumat!$C$7:$C$186,$B30,Jumat!$A$7:$A$186,"&gt;="&amp;DATE(2026,8,1),Jumat!$A$7:$A$186,"&lt;="&amp;DATE(2026,12,31))</f>
        <v>0</v>
      </c>
      <c r="F30" s="45">
        <f>SUMIFS(Senin!$H$7:$H$146,Senin!$C$7:$C$146,$B30,Senin!$A$7:$A$146,"&gt;="&amp;DATE(2026,8,1),Senin!$A$7:$A$146,"&lt;="&amp;DATE(2026,8,31))+SUMIFS(Selasa!$H$7:$H$166,Selasa!$C$7:$C$166,$B30,Selasa!$A$7:$A$166,"&gt;="&amp;DATE(2026,8,1),Selasa!$A$7:$A$166,"&lt;="&amp;DATE(2026,8,31))+SUMIFS(Rabu!$H$7:$H$206,Rabu!$C$7:$C$206,$B30,Rabu!$A$7:$A$206,"&gt;="&amp;DATE(2026,8,1),Rabu!$A$7:$A$206,"&lt;="&amp;DATE(2026,8,31))+SUMIFS(Kamis!$H$7:$H$186,Kamis!$C$7:$C$186,$B30,Kamis!$A$7:$A$186,"&gt;="&amp;DATE(2026,8,1),Kamis!$A$7:$A$186,"&lt;="&amp;DATE(2026,8,31))+SUMIFS(Jumat!$H$7:$H$186,Jumat!$C$7:$C$186,$B30,Jumat!$A$7:$A$186,"&gt;="&amp;DATE(2026,8,1),Jumat!$A$7:$A$186,"&lt;="&amp;DATE(2026,8,31))</f>
        <v>0</v>
      </c>
      <c r="G30" s="45">
        <f>SUMIFS(Senin!$H$7:$H$146,Senin!$C$7:$C$146,$B30,Senin!$A$7:$A$146,"&gt;="&amp;DATE(2026,9,1),Senin!$A$7:$A$146,"&lt;="&amp;DATE(2026,9,30))+SUMIFS(Selasa!$H$7:$H$166,Selasa!$C$7:$C$166,$B30,Selasa!$A$7:$A$166,"&gt;="&amp;DATE(2026,9,1),Selasa!$A$7:$A$166,"&lt;="&amp;DATE(2026,9,30))+SUMIFS(Rabu!$H$7:$H$206,Rabu!$C$7:$C$206,$B30,Rabu!$A$7:$A$206,"&gt;="&amp;DATE(2026,9,1),Rabu!$A$7:$A$206,"&lt;="&amp;DATE(2026,9,30))+SUMIFS(Kamis!$H$7:$H$186,Kamis!$C$7:$C$186,$B30,Kamis!$A$7:$A$186,"&gt;="&amp;DATE(2026,9,1),Kamis!$A$7:$A$186,"&lt;="&amp;DATE(2026,9,30))+SUMIFS(Jumat!$H$7:$H$186,Jumat!$C$7:$C$186,$B30,Jumat!$A$7:$A$186,"&gt;="&amp;DATE(2026,9,1),Jumat!$A$7:$A$186,"&lt;="&amp;DATE(2026,9,30))</f>
        <v>0</v>
      </c>
      <c r="H30" s="45">
        <f>SUMIFS(Senin!$H$7:$H$146,Senin!$C$7:$C$146,$B30,Senin!$A$7:$A$146,"&gt;="&amp;DATE(2026,10,1),Senin!$A$7:$A$146,"&lt;="&amp;DATE(2026,10,31))+SUMIFS(Selasa!$H$7:$H$166,Selasa!$C$7:$C$166,$B30,Selasa!$A$7:$A$166,"&gt;="&amp;DATE(2026,10,1),Selasa!$A$7:$A$166,"&lt;="&amp;DATE(2026,10,31))+SUMIFS(Rabu!$H$7:$H$206,Rabu!$C$7:$C$206,$B30,Rabu!$A$7:$A$206,"&gt;="&amp;DATE(2026,10,1),Rabu!$A$7:$A$206,"&lt;="&amp;DATE(2026,10,31))+SUMIFS(Kamis!$H$7:$H$186,Kamis!$C$7:$C$186,$B30,Kamis!$A$7:$A$186,"&gt;="&amp;DATE(2026,10,1),Kamis!$A$7:$A$186,"&lt;="&amp;DATE(2026,10,31))+SUMIFS(Jumat!$H$7:$H$186,Jumat!$C$7:$C$186,$B30,Jumat!$A$7:$A$186,"&gt;="&amp;DATE(2026,10,1),Jumat!$A$7:$A$186,"&lt;="&amp;DATE(2026,10,31))</f>
        <v>0</v>
      </c>
      <c r="I30" s="45">
        <f>SUMIFS(Senin!$H$7:$H$146,Senin!$C$7:$C$146,$B30,Senin!$A$7:$A$146,"&gt;="&amp;DATE(2026,11,1),Senin!$A$7:$A$146,"&lt;="&amp;DATE(2026,11,30))+SUMIFS(Selasa!$H$7:$H$166,Selasa!$C$7:$C$166,$B30,Selasa!$A$7:$A$166,"&gt;="&amp;DATE(2026,11,1),Selasa!$A$7:$A$166,"&lt;="&amp;DATE(2026,11,30))+SUMIFS(Rabu!$H$7:$H$206,Rabu!$C$7:$C$206,$B30,Rabu!$A$7:$A$206,"&gt;="&amp;DATE(2026,11,1),Rabu!$A$7:$A$206,"&lt;="&amp;DATE(2026,11,30))+SUMIFS(Kamis!$H$7:$H$186,Kamis!$C$7:$C$186,$B30,Kamis!$A$7:$A$186,"&gt;="&amp;DATE(2026,11,1),Kamis!$A$7:$A$186,"&lt;="&amp;DATE(2026,11,30))+SUMIFS(Jumat!$H$7:$H$186,Jumat!$C$7:$C$186,$B30,Jumat!$A$7:$A$186,"&gt;="&amp;DATE(2026,11,1),Jumat!$A$7:$A$186,"&lt;="&amp;DATE(2026,11,30))</f>
        <v>0</v>
      </c>
      <c r="J30" s="45">
        <f>SUMIFS(Senin!$H$7:$H$146,Senin!$C$7:$C$146,$B30,Senin!$A$7:$A$146,"&gt;="&amp;DATE(2026,12,1),Senin!$A$7:$A$146,"&lt;="&amp;DATE(2026,12,31))+SUMIFS(Selasa!$H$7:$H$166,Selasa!$C$7:$C$166,$B30,Selasa!$A$7:$A$166,"&gt;="&amp;DATE(2026,12,1),Selasa!$A$7:$A$166,"&lt;="&amp;DATE(2026,12,31))+SUMIFS(Rabu!$H$7:$H$206,Rabu!$C$7:$C$206,$B30,Rabu!$A$7:$A$206,"&gt;="&amp;DATE(2026,12,1),Rabu!$A$7:$A$206,"&lt;="&amp;DATE(2026,12,31))+SUMIFS(Kamis!$H$7:$H$186,Kamis!$C$7:$C$186,$B30,Kamis!$A$7:$A$186,"&gt;="&amp;DATE(2026,12,1),Kamis!$A$7:$A$186,"&lt;="&amp;DATE(2026,12,31))+SUMIFS(Jumat!$H$7:$H$186,Jumat!$C$7:$C$186,$B30,Jumat!$A$7:$A$186,"&gt;="&amp;DATE(2026,12,1),Jumat!$A$7:$A$186,"&lt;="&amp;DATE(2026,12,31))</f>
        <v>0</v>
      </c>
      <c r="K30" s="45">
        <f>SUMIFS(Senin!$H$7:$H$146,Senin!$C$7:$C$146,$B30,Senin!$A$7:$A$146,"&gt;="&amp;DATE(2026,8,31),Senin!$A$7:$A$146,"&lt;="&amp;DATE(2026,9,6))+SUMIFS(Selasa!$H$7:$H$166,Selasa!$C$7:$C$166,$B30,Selasa!$A$7:$A$166,"&gt;="&amp;DATE(2026,8,31),Selasa!$A$7:$A$166,"&lt;="&amp;DATE(2026,9,6))+SUMIFS(Rabu!$H$7:$H$206,Rabu!$C$7:$C$206,$B30,Rabu!$A$7:$A$206,"&gt;="&amp;DATE(2026,8,31),Rabu!$A$7:$A$206,"&lt;="&amp;DATE(2026,9,6))+SUMIFS(Kamis!$H$7:$H$186,Kamis!$C$7:$C$186,$B30,Kamis!$A$7:$A$186,"&gt;="&amp;DATE(2026,8,31),Kamis!$A$7:$A$186,"&lt;="&amp;DATE(2026,9,6))+SUMIFS(Jumat!$H$7:$H$186,Jumat!$C$7:$C$186,$B30,Jumat!$A$7:$A$186,"&gt;="&amp;DATE(2026,8,31),Jumat!$A$7:$A$186,"&lt;="&amp;DATE(2026,9,6))</f>
        <v>0</v>
      </c>
      <c r="L30" s="45">
        <f>SUMIFS(Senin!$H$7:$H$146,Senin!$C$7:$C$146,$B30,Senin!$A$7:$A$146,"&gt;="&amp;DATE(2026,9,7),Senin!$A$7:$A$146,"&lt;="&amp;DATE(2026,9,13))+SUMIFS(Selasa!$H$7:$H$166,Selasa!$C$7:$C$166,$B30,Selasa!$A$7:$A$166,"&gt;="&amp;DATE(2026,9,7),Selasa!$A$7:$A$166,"&lt;="&amp;DATE(2026,9,13))+SUMIFS(Rabu!$H$7:$H$206,Rabu!$C$7:$C$206,$B30,Rabu!$A$7:$A$206,"&gt;="&amp;DATE(2026,9,7),Rabu!$A$7:$A$206,"&lt;="&amp;DATE(2026,9,13))+SUMIFS(Kamis!$H$7:$H$186,Kamis!$C$7:$C$186,$B30,Kamis!$A$7:$A$186,"&gt;="&amp;DATE(2026,9,7),Kamis!$A$7:$A$186,"&lt;="&amp;DATE(2026,9,13))+SUMIFS(Jumat!$H$7:$H$186,Jumat!$C$7:$C$186,$B30,Jumat!$A$7:$A$186,"&gt;="&amp;DATE(2026,9,7),Jumat!$A$7:$A$186,"&lt;="&amp;DATE(2026,9,13))</f>
        <v>0</v>
      </c>
      <c r="M30" s="45">
        <f>SUMIFS(Senin!$H$7:$H$146,Senin!$C$7:$C$146,$B30,Senin!$A$7:$A$146,"&gt;="&amp;DATE(2026,9,14),Senin!$A$7:$A$146,"&lt;="&amp;DATE(2026,9,20))+SUMIFS(Selasa!$H$7:$H$166,Selasa!$C$7:$C$166,$B30,Selasa!$A$7:$A$166,"&gt;="&amp;DATE(2026,9,14),Selasa!$A$7:$A$166,"&lt;="&amp;DATE(2026,9,20))+SUMIFS(Rabu!$H$7:$H$206,Rabu!$C$7:$C$206,$B30,Rabu!$A$7:$A$206,"&gt;="&amp;DATE(2026,9,14),Rabu!$A$7:$A$206,"&lt;="&amp;DATE(2026,9,20))+SUMIFS(Kamis!$H$7:$H$186,Kamis!$C$7:$C$186,$B30,Kamis!$A$7:$A$186,"&gt;="&amp;DATE(2026,9,14),Kamis!$A$7:$A$186,"&lt;="&amp;DATE(2026,9,20))+SUMIFS(Jumat!$H$7:$H$186,Jumat!$C$7:$C$186,$B30,Jumat!$A$7:$A$186,"&gt;="&amp;DATE(2026,9,14),Jumat!$A$7:$A$186,"&lt;="&amp;DATE(2026,9,20))</f>
        <v>0</v>
      </c>
      <c r="N30" s="45">
        <f>SUMIFS(Senin!$H$7:$H$146,Senin!$C$7:$C$146,$B30,Senin!$A$7:$A$146,"&gt;="&amp;DATE(2026,9,21),Senin!$A$7:$A$146,"&lt;="&amp;DATE(2026,9,27))+SUMIFS(Selasa!$H$7:$H$166,Selasa!$C$7:$C$166,$B30,Selasa!$A$7:$A$166,"&gt;="&amp;DATE(2026,9,21),Selasa!$A$7:$A$166,"&lt;="&amp;DATE(2026,9,27))+SUMIFS(Rabu!$H$7:$H$206,Rabu!$C$7:$C$206,$B30,Rabu!$A$7:$A$206,"&gt;="&amp;DATE(2026,9,21),Rabu!$A$7:$A$206,"&lt;="&amp;DATE(2026,9,27))+SUMIFS(Kamis!$H$7:$H$186,Kamis!$C$7:$C$186,$B30,Kamis!$A$7:$A$186,"&gt;="&amp;DATE(2026,9,21),Kamis!$A$7:$A$186,"&lt;="&amp;DATE(2026,9,27))+SUMIFS(Jumat!$H$7:$H$186,Jumat!$C$7:$C$186,$B30,Jumat!$A$7:$A$186,"&gt;="&amp;DATE(2026,9,21),Jumat!$A$7:$A$186,"&lt;="&amp;DATE(2026,9,27))</f>
        <v>0</v>
      </c>
      <c r="O30" s="45">
        <f>SUMIFS(Senin!$H$7:$H$146,Senin!$C$7:$C$146,$B30,Senin!$A$7:$A$146,"&gt;="&amp;DATE(2026,9,28),Senin!$A$7:$A$146,"&lt;="&amp;DATE(2026,10,4))+SUMIFS(Selasa!$H$7:$H$166,Selasa!$C$7:$C$166,$B30,Selasa!$A$7:$A$166,"&gt;="&amp;DATE(2026,9,28),Selasa!$A$7:$A$166,"&lt;="&amp;DATE(2026,10,4))+SUMIFS(Rabu!$H$7:$H$206,Rabu!$C$7:$C$206,$B30,Rabu!$A$7:$A$206,"&gt;="&amp;DATE(2026,9,28),Rabu!$A$7:$A$206,"&lt;="&amp;DATE(2026,10,4))+SUMIFS(Kamis!$H$7:$H$186,Kamis!$C$7:$C$186,$B30,Kamis!$A$7:$A$186,"&gt;="&amp;DATE(2026,9,28),Kamis!$A$7:$A$186,"&lt;="&amp;DATE(2026,10,4))+SUMIFS(Jumat!$H$7:$H$186,Jumat!$C$7:$C$186,$B30,Jumat!$A$7:$A$186,"&gt;="&amp;DATE(2026,9,28),Jumat!$A$7:$A$186,"&lt;="&amp;DATE(2026,10,4))</f>
        <v>0</v>
      </c>
      <c r="P30" s="45">
        <f>SUMIFS(Senin!$H$7:$H$146,Senin!$C$7:$C$146,$B30,Senin!$A$7:$A$146,"&gt;="&amp;DATE(2026,10,5),Senin!$A$7:$A$146,"&lt;="&amp;DATE(2026,10,11))+SUMIFS(Selasa!$H$7:$H$166,Selasa!$C$7:$C$166,$B30,Selasa!$A$7:$A$166,"&gt;="&amp;DATE(2026,10,5),Selasa!$A$7:$A$166,"&lt;="&amp;DATE(2026,10,11))+SUMIFS(Rabu!$H$7:$H$206,Rabu!$C$7:$C$206,$B30,Rabu!$A$7:$A$206,"&gt;="&amp;DATE(2026,10,5),Rabu!$A$7:$A$206,"&lt;="&amp;DATE(2026,10,11))+SUMIFS(Kamis!$H$7:$H$186,Kamis!$C$7:$C$186,$B30,Kamis!$A$7:$A$186,"&gt;="&amp;DATE(2026,10,5),Kamis!$A$7:$A$186,"&lt;="&amp;DATE(2026,10,11))+SUMIFS(Jumat!$H$7:$H$186,Jumat!$C$7:$C$186,$B30,Jumat!$A$7:$A$186,"&gt;="&amp;DATE(2026,10,5),Jumat!$A$7:$A$186,"&lt;="&amp;DATE(2026,10,11))</f>
        <v>0</v>
      </c>
      <c r="Q30" s="45">
        <f>SUMIFS(Senin!$H$7:$H$146,Senin!$C$7:$C$146,$B30,Senin!$A$7:$A$146,"&gt;="&amp;DATE(2026,10,12),Senin!$A$7:$A$146,"&lt;="&amp;DATE(2026,10,18))+SUMIFS(Selasa!$H$7:$H$166,Selasa!$C$7:$C$166,$B30,Selasa!$A$7:$A$166,"&gt;="&amp;DATE(2026,10,12),Selasa!$A$7:$A$166,"&lt;="&amp;DATE(2026,10,18))+SUMIFS(Rabu!$H$7:$H$206,Rabu!$C$7:$C$206,$B30,Rabu!$A$7:$A$206,"&gt;="&amp;DATE(2026,10,12),Rabu!$A$7:$A$206,"&lt;="&amp;DATE(2026,10,18))+SUMIFS(Kamis!$H$7:$H$186,Kamis!$C$7:$C$186,$B30,Kamis!$A$7:$A$186,"&gt;="&amp;DATE(2026,10,12),Kamis!$A$7:$A$186,"&lt;="&amp;DATE(2026,10,18))+SUMIFS(Jumat!$H$7:$H$186,Jumat!$C$7:$C$186,$B30,Jumat!$A$7:$A$186,"&gt;="&amp;DATE(2026,10,12),Jumat!$A$7:$A$186,"&lt;="&amp;DATE(2026,10,18))</f>
        <v>0</v>
      </c>
      <c r="R30" s="45">
        <f>SUMIFS(Senin!$H$7:$H$146,Senin!$C$7:$C$146,$B30,Senin!$A$7:$A$146,"&gt;="&amp;DATE(2026,10,19),Senin!$A$7:$A$146,"&lt;="&amp;DATE(2026,10,25))+SUMIFS(Selasa!$H$7:$H$166,Selasa!$C$7:$C$166,$B30,Selasa!$A$7:$A$166,"&gt;="&amp;DATE(2026,10,19),Selasa!$A$7:$A$166,"&lt;="&amp;DATE(2026,10,25))+SUMIFS(Rabu!$H$7:$H$206,Rabu!$C$7:$C$206,$B30,Rabu!$A$7:$A$206,"&gt;="&amp;DATE(2026,10,19),Rabu!$A$7:$A$206,"&lt;="&amp;DATE(2026,10,25))+SUMIFS(Kamis!$H$7:$H$186,Kamis!$C$7:$C$186,$B30,Kamis!$A$7:$A$186,"&gt;="&amp;DATE(2026,10,19),Kamis!$A$7:$A$186,"&lt;="&amp;DATE(2026,10,25))+SUMIFS(Jumat!$H$7:$H$186,Jumat!$C$7:$C$186,$B30,Jumat!$A$7:$A$186,"&gt;="&amp;DATE(2026,10,19),Jumat!$A$7:$A$186,"&lt;="&amp;DATE(2026,10,25))</f>
        <v>0</v>
      </c>
      <c r="S30" s="45">
        <f>SUMIFS(Senin!$H$7:$H$146,Senin!$C$7:$C$146,$B30,Senin!$A$7:$A$146,"&gt;="&amp;DATE(2026,10,26),Senin!$A$7:$A$146,"&lt;="&amp;DATE(2026,11,1))+SUMIFS(Selasa!$H$7:$H$166,Selasa!$C$7:$C$166,$B30,Selasa!$A$7:$A$166,"&gt;="&amp;DATE(2026,10,26),Selasa!$A$7:$A$166,"&lt;="&amp;DATE(2026,11,1))+SUMIFS(Rabu!$H$7:$H$206,Rabu!$C$7:$C$206,$B30,Rabu!$A$7:$A$206,"&gt;="&amp;DATE(2026,10,26),Rabu!$A$7:$A$206,"&lt;="&amp;DATE(2026,11,1))+SUMIFS(Kamis!$H$7:$H$186,Kamis!$C$7:$C$186,$B30,Kamis!$A$7:$A$186,"&gt;="&amp;DATE(2026,10,26),Kamis!$A$7:$A$186,"&lt;="&amp;DATE(2026,11,1))+SUMIFS(Jumat!$H$7:$H$186,Jumat!$C$7:$C$186,$B30,Jumat!$A$7:$A$186,"&gt;="&amp;DATE(2026,10,26),Jumat!$A$7:$A$186,"&lt;="&amp;DATE(2026,11,1))</f>
        <v>0</v>
      </c>
      <c r="T30" s="45">
        <f>SUMIFS(Senin!$H$7:$H$146,Senin!$C$7:$C$146,$B30,Senin!$A$7:$A$146,"&gt;="&amp;DATE(2026,11,2),Senin!$A$7:$A$146,"&lt;="&amp;DATE(2026,11,8))+SUMIFS(Selasa!$H$7:$H$166,Selasa!$C$7:$C$166,$B30,Selasa!$A$7:$A$166,"&gt;="&amp;DATE(2026,11,2),Selasa!$A$7:$A$166,"&lt;="&amp;DATE(2026,11,8))+SUMIFS(Rabu!$H$7:$H$206,Rabu!$C$7:$C$206,$B30,Rabu!$A$7:$A$206,"&gt;="&amp;DATE(2026,11,2),Rabu!$A$7:$A$206,"&lt;="&amp;DATE(2026,11,8))+SUMIFS(Kamis!$H$7:$H$186,Kamis!$C$7:$C$186,$B30,Kamis!$A$7:$A$186,"&gt;="&amp;DATE(2026,11,2),Kamis!$A$7:$A$186,"&lt;="&amp;DATE(2026,11,8))+SUMIFS(Jumat!$H$7:$H$186,Jumat!$C$7:$C$186,$B30,Jumat!$A$7:$A$186,"&gt;="&amp;DATE(2026,11,2),Jumat!$A$7:$A$186,"&lt;="&amp;DATE(2026,11,8))</f>
        <v>0</v>
      </c>
      <c r="U30" s="45">
        <f>SUMIFS(Senin!$H$7:$H$146,Senin!$C$7:$C$146,$B30,Senin!$A$7:$A$146,"&gt;="&amp;DATE(2026,11,9),Senin!$A$7:$A$146,"&lt;="&amp;DATE(2026,11,15))+SUMIFS(Selasa!$H$7:$H$166,Selasa!$C$7:$C$166,$B30,Selasa!$A$7:$A$166,"&gt;="&amp;DATE(2026,11,9),Selasa!$A$7:$A$166,"&lt;="&amp;DATE(2026,11,15))+SUMIFS(Rabu!$H$7:$H$206,Rabu!$C$7:$C$206,$B30,Rabu!$A$7:$A$206,"&gt;="&amp;DATE(2026,11,9),Rabu!$A$7:$A$206,"&lt;="&amp;DATE(2026,11,15))+SUMIFS(Kamis!$H$7:$H$186,Kamis!$C$7:$C$186,$B30,Kamis!$A$7:$A$186,"&gt;="&amp;DATE(2026,11,9),Kamis!$A$7:$A$186,"&lt;="&amp;DATE(2026,11,15))+SUMIFS(Jumat!$H$7:$H$186,Jumat!$C$7:$C$186,$B30,Jumat!$A$7:$A$186,"&gt;="&amp;DATE(2026,11,9),Jumat!$A$7:$A$186,"&lt;="&amp;DATE(2026,11,15))</f>
        <v>0</v>
      </c>
      <c r="V30" s="45">
        <f>SUMIFS(Senin!$H$7:$H$146,Senin!$C$7:$C$146,$B30,Senin!$A$7:$A$146,"&gt;="&amp;DATE(2026,11,16),Senin!$A$7:$A$146,"&lt;="&amp;DATE(2026,11,22))+SUMIFS(Selasa!$H$7:$H$166,Selasa!$C$7:$C$166,$B30,Selasa!$A$7:$A$166,"&gt;="&amp;DATE(2026,11,16),Selasa!$A$7:$A$166,"&lt;="&amp;DATE(2026,11,22))+SUMIFS(Rabu!$H$7:$H$206,Rabu!$C$7:$C$206,$B30,Rabu!$A$7:$A$206,"&gt;="&amp;DATE(2026,11,16),Rabu!$A$7:$A$206,"&lt;="&amp;DATE(2026,11,22))+SUMIFS(Kamis!$H$7:$H$186,Kamis!$C$7:$C$186,$B30,Kamis!$A$7:$A$186,"&gt;="&amp;DATE(2026,11,16),Kamis!$A$7:$A$186,"&lt;="&amp;DATE(2026,11,22))+SUMIFS(Jumat!$H$7:$H$186,Jumat!$C$7:$C$186,$B30,Jumat!$A$7:$A$186,"&gt;="&amp;DATE(2026,11,16),Jumat!$A$7:$A$186,"&lt;="&amp;DATE(2026,11,22))</f>
        <v>0</v>
      </c>
      <c r="W30" s="45">
        <f>SUMIFS(Senin!$H$7:$H$146,Senin!$C$7:$C$146,$B30,Senin!$A$7:$A$146,"&gt;="&amp;DATE(2026,11,23),Senin!$A$7:$A$146,"&lt;="&amp;DATE(2026,11,29))+SUMIFS(Selasa!$H$7:$H$166,Selasa!$C$7:$C$166,$B30,Selasa!$A$7:$A$166,"&gt;="&amp;DATE(2026,11,23),Selasa!$A$7:$A$166,"&lt;="&amp;DATE(2026,11,29))+SUMIFS(Rabu!$H$7:$H$206,Rabu!$C$7:$C$206,$B30,Rabu!$A$7:$A$206,"&gt;="&amp;DATE(2026,11,23),Rabu!$A$7:$A$206,"&lt;="&amp;DATE(2026,11,29))+SUMIFS(Kamis!$H$7:$H$186,Kamis!$C$7:$C$186,$B30,Kamis!$A$7:$A$186,"&gt;="&amp;DATE(2026,11,23),Kamis!$A$7:$A$186,"&lt;="&amp;DATE(2026,11,29))+SUMIFS(Jumat!$H$7:$H$186,Jumat!$C$7:$C$186,$B30,Jumat!$A$7:$A$186,"&gt;="&amp;DATE(2026,11,23),Jumat!$A$7:$A$186,"&lt;="&amp;DATE(2026,11,29))</f>
        <v>0</v>
      </c>
      <c r="X30" s="45">
        <f>SUMIFS(Senin!$H$7:$H$146,Senin!$C$7:$C$146,$B30,Senin!$A$7:$A$146,"&gt;="&amp;DATE(2026,11,30),Senin!$A$7:$A$146,"&lt;="&amp;DATE(2026,12,6))+SUMIFS(Selasa!$H$7:$H$166,Selasa!$C$7:$C$166,$B30,Selasa!$A$7:$A$166,"&gt;="&amp;DATE(2026,11,30),Selasa!$A$7:$A$166,"&lt;="&amp;DATE(2026,12,6))+SUMIFS(Rabu!$H$7:$H$206,Rabu!$C$7:$C$206,$B30,Rabu!$A$7:$A$206,"&gt;="&amp;DATE(2026,11,30),Rabu!$A$7:$A$206,"&lt;="&amp;DATE(2026,12,6))+SUMIFS(Kamis!$H$7:$H$186,Kamis!$C$7:$C$186,$B30,Kamis!$A$7:$A$186,"&gt;="&amp;DATE(2026,11,30),Kamis!$A$7:$A$186,"&lt;="&amp;DATE(2026,12,6))+SUMIFS(Jumat!$H$7:$H$186,Jumat!$C$7:$C$186,$B30,Jumat!$A$7:$A$186,"&gt;="&amp;DATE(2026,11,30),Jumat!$A$7:$A$186,"&lt;="&amp;DATE(2026,12,6))</f>
        <v>0</v>
      </c>
      <c r="Y30" s="45">
        <f>SUMIFS(Senin!$H$7:$H$146,Senin!$C$7:$C$146,$B30,Senin!$A$7:$A$146,"&gt;="&amp;DATE(2026,12,7),Senin!$A$7:$A$146,"&lt;="&amp;DATE(2026,12,13))+SUMIFS(Selasa!$H$7:$H$166,Selasa!$C$7:$C$166,$B30,Selasa!$A$7:$A$166,"&gt;="&amp;DATE(2026,12,7),Selasa!$A$7:$A$166,"&lt;="&amp;DATE(2026,12,13))+SUMIFS(Rabu!$H$7:$H$206,Rabu!$C$7:$C$206,$B30,Rabu!$A$7:$A$206,"&gt;="&amp;DATE(2026,12,7),Rabu!$A$7:$A$206,"&lt;="&amp;DATE(2026,12,13))+SUMIFS(Kamis!$H$7:$H$186,Kamis!$C$7:$C$186,$B30,Kamis!$A$7:$A$186,"&gt;="&amp;DATE(2026,12,7),Kamis!$A$7:$A$186,"&lt;="&amp;DATE(2026,12,13))+SUMIFS(Jumat!$H$7:$H$186,Jumat!$C$7:$C$186,$B30,Jumat!$A$7:$A$186,"&gt;="&amp;DATE(2026,12,7),Jumat!$A$7:$A$186,"&lt;="&amp;DATE(2026,12,13))</f>
        <v>0</v>
      </c>
      <c r="Z30" s="45">
        <f>SUMIFS(Senin!$H$7:$H$146,Senin!$C$7:$C$146,$B30,Senin!$A$7:$A$146,"&gt;="&amp;DATE(2026,12,14),Senin!$A$7:$A$146,"&lt;="&amp;DATE(2026,12,20))+SUMIFS(Selasa!$H$7:$H$166,Selasa!$C$7:$C$166,$B30,Selasa!$A$7:$A$166,"&gt;="&amp;DATE(2026,12,14),Selasa!$A$7:$A$166,"&lt;="&amp;DATE(2026,12,20))+SUMIFS(Rabu!$H$7:$H$206,Rabu!$C$7:$C$206,$B30,Rabu!$A$7:$A$206,"&gt;="&amp;DATE(2026,12,14),Rabu!$A$7:$A$206,"&lt;="&amp;DATE(2026,12,20))+SUMIFS(Kamis!$H$7:$H$186,Kamis!$C$7:$C$186,$B30,Kamis!$A$7:$A$186,"&gt;="&amp;DATE(2026,12,14),Kamis!$A$7:$A$186,"&lt;="&amp;DATE(2026,12,20))+SUMIFS(Jumat!$H$7:$H$186,Jumat!$C$7:$C$186,$B30,Jumat!$A$7:$A$186,"&gt;="&amp;DATE(2026,12,14),Jumat!$A$7:$A$186,"&lt;="&amp;DATE(2026,12,20))</f>
        <v>0</v>
      </c>
      <c r="AA30" s="45">
        <f>SUMIFS(Senin!$H$7:$H$146,Senin!$C$7:$C$146,$B30,Senin!$A$7:$A$146,"&gt;="&amp;DATE(2026,12,21),Senin!$A$7:$A$146,"&lt;="&amp;DATE(2026,12,27))+SUMIFS(Selasa!$H$7:$H$166,Selasa!$C$7:$C$166,$B30,Selasa!$A$7:$A$166,"&gt;="&amp;DATE(2026,12,21),Selasa!$A$7:$A$166,"&lt;="&amp;DATE(2026,12,27))+SUMIFS(Rabu!$H$7:$H$206,Rabu!$C$7:$C$206,$B30,Rabu!$A$7:$A$206,"&gt;="&amp;DATE(2026,12,21),Rabu!$A$7:$A$206,"&lt;="&amp;DATE(2026,12,27))+SUMIFS(Kamis!$H$7:$H$186,Kamis!$C$7:$C$186,$B30,Kamis!$A$7:$A$186,"&gt;="&amp;DATE(2026,12,21),Kamis!$A$7:$A$186,"&lt;="&amp;DATE(2026,12,27))+SUMIFS(Jumat!$H$7:$H$186,Jumat!$C$7:$C$186,$B30,Jumat!$A$7:$A$186,"&gt;="&amp;DATE(2026,12,21),Jumat!$A$7:$A$186,"&lt;="&amp;DATE(2026,12,27))</f>
        <v>0</v>
      </c>
      <c r="AB30" s="45">
        <f>SUMIFS(Senin!$H$7:$H$146,Senin!$C$7:$C$146,$B30,Senin!$A$7:$A$146,"&gt;="&amp;DATE(2026,12,28),Senin!$A$7:$A$146,"&lt;="&amp;DATE(2027,1,3))+SUMIFS(Selasa!$H$7:$H$166,Selasa!$C$7:$C$166,$B30,Selasa!$A$7:$A$166,"&gt;="&amp;DATE(2026,12,28),Selasa!$A$7:$A$166,"&lt;="&amp;DATE(2027,1,3))+SUMIFS(Rabu!$H$7:$H$206,Rabu!$C$7:$C$206,$B30,Rabu!$A$7:$A$206,"&gt;="&amp;DATE(2026,12,28),Rabu!$A$7:$A$206,"&lt;="&amp;DATE(2027,1,3))+SUMIFS(Kamis!$H$7:$H$186,Kamis!$C$7:$C$186,$B30,Kamis!$A$7:$A$186,"&gt;="&amp;DATE(2026,12,28),Kamis!$A$7:$A$186,"&lt;="&amp;DATE(2027,1,3))+SUMIFS(Jumat!$H$7:$H$186,Jumat!$C$7:$C$186,$B30,Jumat!$A$7:$A$186,"&gt;="&amp;DATE(2026,12,28),Jumat!$A$7:$A$186,"&lt;="&amp;DATE(2027,1,3))</f>
        <v>0</v>
      </c>
      <c r="AC30" s="45">
        <f>SUMIFS(Senin!$H$7:$H$146,Senin!$C$7:$C$146,$B30,Senin!$A$7:$A$146,"&gt;="&amp;DATE(2027,1,4),Senin!$A$7:$A$146,"&lt;="&amp;DATE(2027,1,10))+SUMIFS(Selasa!$H$7:$H$166,Selasa!$C$7:$C$166,$B30,Selasa!$A$7:$A$166,"&gt;="&amp;DATE(2027,1,4),Selasa!$A$7:$A$166,"&lt;="&amp;DATE(2027,1,10))+SUMIFS(Rabu!$H$7:$H$206,Rabu!$C$7:$C$206,$B30,Rabu!$A$7:$A$206,"&gt;="&amp;DATE(2027,1,4),Rabu!$A$7:$A$206,"&lt;="&amp;DATE(2027,1,10))+SUMIFS(Kamis!$H$7:$H$186,Kamis!$C$7:$C$186,$B30,Kamis!$A$7:$A$186,"&gt;="&amp;DATE(2027,1,4),Kamis!$A$7:$A$186,"&lt;="&amp;DATE(2027,1,10))+SUMIFS(Jumat!$H$7:$H$186,Jumat!$C$7:$C$186,$B30,Jumat!$A$7:$A$186,"&gt;="&amp;DATE(2027,1,4),Jumat!$A$7:$A$186,"&lt;="&amp;DATE(2027,1,10))</f>
        <v>0</v>
      </c>
      <c r="AD30" s="45">
        <f>SUMIFS(Senin!$H$7:$H$146,Senin!$C$7:$C$146,$B30,Senin!$A$7:$A$146,"&gt;="&amp;DATE(2027,1,11),Senin!$A$7:$A$146,"&lt;="&amp;DATE(2027,1,17))+SUMIFS(Selasa!$H$7:$H$166,Selasa!$C$7:$C$166,$B30,Selasa!$A$7:$A$166,"&gt;="&amp;DATE(2027,1,11),Selasa!$A$7:$A$166,"&lt;="&amp;DATE(2027,1,17))+SUMIFS(Rabu!$H$7:$H$206,Rabu!$C$7:$C$206,$B30,Rabu!$A$7:$A$206,"&gt;="&amp;DATE(2027,1,11),Rabu!$A$7:$A$206,"&lt;="&amp;DATE(2027,1,17))+SUMIFS(Kamis!$H$7:$H$186,Kamis!$C$7:$C$186,$B30,Kamis!$A$7:$A$186,"&gt;="&amp;DATE(2027,1,11),Kamis!$A$7:$A$186,"&lt;="&amp;DATE(2027,1,17))+SUMIFS(Jumat!$H$7:$H$186,Jumat!$C$7:$C$186,$B30,Jumat!$A$7:$A$186,"&gt;="&amp;DATE(2027,1,11),Jumat!$A$7:$A$186,"&lt;="&amp;DATE(2027,1,17))</f>
        <v>0</v>
      </c>
    </row>
    <row r="31" ht="15.75" customHeight="1">
      <c r="A31" s="27">
        <v>28.0</v>
      </c>
      <c r="B31" s="61" t="s">
        <v>21</v>
      </c>
      <c r="C31" s="41">
        <f>COUNTIFS(Senin!$C$7:$C$146,$B31,Senin!$G$7:$G$146,"Ya",Senin!$E$7:$E$146,"&lt;&gt;")+COUNTIFS(Selasa!$C$7:$C$166,$B31,Selasa!$G$7:$G$166,"Ya",Selasa!$E$7:$E$166,"&lt;&gt;")+COUNTIFS(Rabu!$C$7:$C$206,$B31,Rabu!$G$7:$G$206,"Ya",Rabu!$E$7:$E$206,"&lt;&gt;")+COUNTIFS(Kamis!$C$7:$C$186,$B31,Kamis!$G$7:$G$186,"Ya",Kamis!$E$7:$E$186,"&lt;&gt;")+COUNTIFS(Jumat!$C$7:$C$186,$B31,Jumat!$G$7:$G$186,"Ya",Jumat!$E$7:$E$186,"&lt;&gt;")</f>
        <v>0</v>
      </c>
      <c r="D31" s="41">
        <f>COUNTIFS(Senin!$C$7:$C$146,$B31,Senin!$G$7:$G$146,"Ya",Senin!$E$7:$E$146,"")+COUNTIFS(Selasa!$C$7:$C$166,$B31,Selasa!$G$7:$G$166,"Ya",Selasa!$E$7:$E$166,"")+COUNTIFS(Rabu!$C$7:$C$206,$B31,Rabu!$G$7:$G$206,"Ya",Rabu!$E$7:$E$206,"")+COUNTIFS(Kamis!$C$7:$C$186,$B31,Kamis!$G$7:$G$186,"Ya",Kamis!$E$7:$E$186,"")+COUNTIFS(Jumat!$C$7:$C$186,$B31,Jumat!$G$7:$G$186,"Ya",Jumat!$E$7:$E$186,"")</f>
        <v>0</v>
      </c>
      <c r="E31" s="45">
        <f>SUMIFS(Senin!$H$7:$H$146,Senin!$C$7:$C$146,$B31,Senin!$A$7:$A$146,"&gt;="&amp;DATE(2026,8,1),Senin!$A$7:$A$146,"&lt;="&amp;DATE(2026,12,31))+SUMIFS(Selasa!$H$7:$H$166,Selasa!$C$7:$C$166,$B31,Selasa!$A$7:$A$166,"&gt;="&amp;DATE(2026,8,1),Selasa!$A$7:$A$166,"&lt;="&amp;DATE(2026,12,31))+SUMIFS(Rabu!$H$7:$H$206,Rabu!$C$7:$C$206,$B31,Rabu!$A$7:$A$206,"&gt;="&amp;DATE(2026,8,1),Rabu!$A$7:$A$206,"&lt;="&amp;DATE(2026,12,31))+SUMIFS(Kamis!$H$7:$H$186,Kamis!$C$7:$C$186,$B31,Kamis!$A$7:$A$186,"&gt;="&amp;DATE(2026,8,1),Kamis!$A$7:$A$186,"&lt;="&amp;DATE(2026,12,31))+SUMIFS(Jumat!$H$7:$H$186,Jumat!$C$7:$C$186,$B31,Jumat!$A$7:$A$186,"&gt;="&amp;DATE(2026,8,1),Jumat!$A$7:$A$186,"&lt;="&amp;DATE(2026,12,31))</f>
        <v>0</v>
      </c>
      <c r="F31" s="45">
        <f>SUMIFS(Senin!$H$7:$H$146,Senin!$C$7:$C$146,$B31,Senin!$A$7:$A$146,"&gt;="&amp;DATE(2026,8,1),Senin!$A$7:$A$146,"&lt;="&amp;DATE(2026,8,31))+SUMIFS(Selasa!$H$7:$H$166,Selasa!$C$7:$C$166,$B31,Selasa!$A$7:$A$166,"&gt;="&amp;DATE(2026,8,1),Selasa!$A$7:$A$166,"&lt;="&amp;DATE(2026,8,31))+SUMIFS(Rabu!$H$7:$H$206,Rabu!$C$7:$C$206,$B31,Rabu!$A$7:$A$206,"&gt;="&amp;DATE(2026,8,1),Rabu!$A$7:$A$206,"&lt;="&amp;DATE(2026,8,31))+SUMIFS(Kamis!$H$7:$H$186,Kamis!$C$7:$C$186,$B31,Kamis!$A$7:$A$186,"&gt;="&amp;DATE(2026,8,1),Kamis!$A$7:$A$186,"&lt;="&amp;DATE(2026,8,31))+SUMIFS(Jumat!$H$7:$H$186,Jumat!$C$7:$C$186,$B31,Jumat!$A$7:$A$186,"&gt;="&amp;DATE(2026,8,1),Jumat!$A$7:$A$186,"&lt;="&amp;DATE(2026,8,31))</f>
        <v>0</v>
      </c>
      <c r="G31" s="45">
        <f>SUMIFS(Senin!$H$7:$H$146,Senin!$C$7:$C$146,$B31,Senin!$A$7:$A$146,"&gt;="&amp;DATE(2026,9,1),Senin!$A$7:$A$146,"&lt;="&amp;DATE(2026,9,30))+SUMIFS(Selasa!$H$7:$H$166,Selasa!$C$7:$C$166,$B31,Selasa!$A$7:$A$166,"&gt;="&amp;DATE(2026,9,1),Selasa!$A$7:$A$166,"&lt;="&amp;DATE(2026,9,30))+SUMIFS(Rabu!$H$7:$H$206,Rabu!$C$7:$C$206,$B31,Rabu!$A$7:$A$206,"&gt;="&amp;DATE(2026,9,1),Rabu!$A$7:$A$206,"&lt;="&amp;DATE(2026,9,30))+SUMIFS(Kamis!$H$7:$H$186,Kamis!$C$7:$C$186,$B31,Kamis!$A$7:$A$186,"&gt;="&amp;DATE(2026,9,1),Kamis!$A$7:$A$186,"&lt;="&amp;DATE(2026,9,30))+SUMIFS(Jumat!$H$7:$H$186,Jumat!$C$7:$C$186,$B31,Jumat!$A$7:$A$186,"&gt;="&amp;DATE(2026,9,1),Jumat!$A$7:$A$186,"&lt;="&amp;DATE(2026,9,30))</f>
        <v>0</v>
      </c>
      <c r="H31" s="45">
        <f>SUMIFS(Senin!$H$7:$H$146,Senin!$C$7:$C$146,$B31,Senin!$A$7:$A$146,"&gt;="&amp;DATE(2026,10,1),Senin!$A$7:$A$146,"&lt;="&amp;DATE(2026,10,31))+SUMIFS(Selasa!$H$7:$H$166,Selasa!$C$7:$C$166,$B31,Selasa!$A$7:$A$166,"&gt;="&amp;DATE(2026,10,1),Selasa!$A$7:$A$166,"&lt;="&amp;DATE(2026,10,31))+SUMIFS(Rabu!$H$7:$H$206,Rabu!$C$7:$C$206,$B31,Rabu!$A$7:$A$206,"&gt;="&amp;DATE(2026,10,1),Rabu!$A$7:$A$206,"&lt;="&amp;DATE(2026,10,31))+SUMIFS(Kamis!$H$7:$H$186,Kamis!$C$7:$C$186,$B31,Kamis!$A$7:$A$186,"&gt;="&amp;DATE(2026,10,1),Kamis!$A$7:$A$186,"&lt;="&amp;DATE(2026,10,31))+SUMIFS(Jumat!$H$7:$H$186,Jumat!$C$7:$C$186,$B31,Jumat!$A$7:$A$186,"&gt;="&amp;DATE(2026,10,1),Jumat!$A$7:$A$186,"&lt;="&amp;DATE(2026,10,31))</f>
        <v>0</v>
      </c>
      <c r="I31" s="45">
        <f>SUMIFS(Senin!$H$7:$H$146,Senin!$C$7:$C$146,$B31,Senin!$A$7:$A$146,"&gt;="&amp;DATE(2026,11,1),Senin!$A$7:$A$146,"&lt;="&amp;DATE(2026,11,30))+SUMIFS(Selasa!$H$7:$H$166,Selasa!$C$7:$C$166,$B31,Selasa!$A$7:$A$166,"&gt;="&amp;DATE(2026,11,1),Selasa!$A$7:$A$166,"&lt;="&amp;DATE(2026,11,30))+SUMIFS(Rabu!$H$7:$H$206,Rabu!$C$7:$C$206,$B31,Rabu!$A$7:$A$206,"&gt;="&amp;DATE(2026,11,1),Rabu!$A$7:$A$206,"&lt;="&amp;DATE(2026,11,30))+SUMIFS(Kamis!$H$7:$H$186,Kamis!$C$7:$C$186,$B31,Kamis!$A$7:$A$186,"&gt;="&amp;DATE(2026,11,1),Kamis!$A$7:$A$186,"&lt;="&amp;DATE(2026,11,30))+SUMIFS(Jumat!$H$7:$H$186,Jumat!$C$7:$C$186,$B31,Jumat!$A$7:$A$186,"&gt;="&amp;DATE(2026,11,1),Jumat!$A$7:$A$186,"&lt;="&amp;DATE(2026,11,30))</f>
        <v>0</v>
      </c>
      <c r="J31" s="45">
        <f>SUMIFS(Senin!$H$7:$H$146,Senin!$C$7:$C$146,$B31,Senin!$A$7:$A$146,"&gt;="&amp;DATE(2026,12,1),Senin!$A$7:$A$146,"&lt;="&amp;DATE(2026,12,31))+SUMIFS(Selasa!$H$7:$H$166,Selasa!$C$7:$C$166,$B31,Selasa!$A$7:$A$166,"&gt;="&amp;DATE(2026,12,1),Selasa!$A$7:$A$166,"&lt;="&amp;DATE(2026,12,31))+SUMIFS(Rabu!$H$7:$H$206,Rabu!$C$7:$C$206,$B31,Rabu!$A$7:$A$206,"&gt;="&amp;DATE(2026,12,1),Rabu!$A$7:$A$206,"&lt;="&amp;DATE(2026,12,31))+SUMIFS(Kamis!$H$7:$H$186,Kamis!$C$7:$C$186,$B31,Kamis!$A$7:$A$186,"&gt;="&amp;DATE(2026,12,1),Kamis!$A$7:$A$186,"&lt;="&amp;DATE(2026,12,31))+SUMIFS(Jumat!$H$7:$H$186,Jumat!$C$7:$C$186,$B31,Jumat!$A$7:$A$186,"&gt;="&amp;DATE(2026,12,1),Jumat!$A$7:$A$186,"&lt;="&amp;DATE(2026,12,31))</f>
        <v>0</v>
      </c>
      <c r="K31" s="45">
        <f>SUMIFS(Senin!$H$7:$H$146,Senin!$C$7:$C$146,$B31,Senin!$A$7:$A$146,"&gt;="&amp;DATE(2026,8,31),Senin!$A$7:$A$146,"&lt;="&amp;DATE(2026,9,6))+SUMIFS(Selasa!$H$7:$H$166,Selasa!$C$7:$C$166,$B31,Selasa!$A$7:$A$166,"&gt;="&amp;DATE(2026,8,31),Selasa!$A$7:$A$166,"&lt;="&amp;DATE(2026,9,6))+SUMIFS(Rabu!$H$7:$H$206,Rabu!$C$7:$C$206,$B31,Rabu!$A$7:$A$206,"&gt;="&amp;DATE(2026,8,31),Rabu!$A$7:$A$206,"&lt;="&amp;DATE(2026,9,6))+SUMIFS(Kamis!$H$7:$H$186,Kamis!$C$7:$C$186,$B31,Kamis!$A$7:$A$186,"&gt;="&amp;DATE(2026,8,31),Kamis!$A$7:$A$186,"&lt;="&amp;DATE(2026,9,6))+SUMIFS(Jumat!$H$7:$H$186,Jumat!$C$7:$C$186,$B31,Jumat!$A$7:$A$186,"&gt;="&amp;DATE(2026,8,31),Jumat!$A$7:$A$186,"&lt;="&amp;DATE(2026,9,6))</f>
        <v>0</v>
      </c>
      <c r="L31" s="45">
        <f>SUMIFS(Senin!$H$7:$H$146,Senin!$C$7:$C$146,$B31,Senin!$A$7:$A$146,"&gt;="&amp;DATE(2026,9,7),Senin!$A$7:$A$146,"&lt;="&amp;DATE(2026,9,13))+SUMIFS(Selasa!$H$7:$H$166,Selasa!$C$7:$C$166,$B31,Selasa!$A$7:$A$166,"&gt;="&amp;DATE(2026,9,7),Selasa!$A$7:$A$166,"&lt;="&amp;DATE(2026,9,13))+SUMIFS(Rabu!$H$7:$H$206,Rabu!$C$7:$C$206,$B31,Rabu!$A$7:$A$206,"&gt;="&amp;DATE(2026,9,7),Rabu!$A$7:$A$206,"&lt;="&amp;DATE(2026,9,13))+SUMIFS(Kamis!$H$7:$H$186,Kamis!$C$7:$C$186,$B31,Kamis!$A$7:$A$186,"&gt;="&amp;DATE(2026,9,7),Kamis!$A$7:$A$186,"&lt;="&amp;DATE(2026,9,13))+SUMIFS(Jumat!$H$7:$H$186,Jumat!$C$7:$C$186,$B31,Jumat!$A$7:$A$186,"&gt;="&amp;DATE(2026,9,7),Jumat!$A$7:$A$186,"&lt;="&amp;DATE(2026,9,13))</f>
        <v>0</v>
      </c>
      <c r="M31" s="45">
        <f>SUMIFS(Senin!$H$7:$H$146,Senin!$C$7:$C$146,$B31,Senin!$A$7:$A$146,"&gt;="&amp;DATE(2026,9,14),Senin!$A$7:$A$146,"&lt;="&amp;DATE(2026,9,20))+SUMIFS(Selasa!$H$7:$H$166,Selasa!$C$7:$C$166,$B31,Selasa!$A$7:$A$166,"&gt;="&amp;DATE(2026,9,14),Selasa!$A$7:$A$166,"&lt;="&amp;DATE(2026,9,20))+SUMIFS(Rabu!$H$7:$H$206,Rabu!$C$7:$C$206,$B31,Rabu!$A$7:$A$206,"&gt;="&amp;DATE(2026,9,14),Rabu!$A$7:$A$206,"&lt;="&amp;DATE(2026,9,20))+SUMIFS(Kamis!$H$7:$H$186,Kamis!$C$7:$C$186,$B31,Kamis!$A$7:$A$186,"&gt;="&amp;DATE(2026,9,14),Kamis!$A$7:$A$186,"&lt;="&amp;DATE(2026,9,20))+SUMIFS(Jumat!$H$7:$H$186,Jumat!$C$7:$C$186,$B31,Jumat!$A$7:$A$186,"&gt;="&amp;DATE(2026,9,14),Jumat!$A$7:$A$186,"&lt;="&amp;DATE(2026,9,20))</f>
        <v>0</v>
      </c>
      <c r="N31" s="45">
        <f>SUMIFS(Senin!$H$7:$H$146,Senin!$C$7:$C$146,$B31,Senin!$A$7:$A$146,"&gt;="&amp;DATE(2026,9,21),Senin!$A$7:$A$146,"&lt;="&amp;DATE(2026,9,27))+SUMIFS(Selasa!$H$7:$H$166,Selasa!$C$7:$C$166,$B31,Selasa!$A$7:$A$166,"&gt;="&amp;DATE(2026,9,21),Selasa!$A$7:$A$166,"&lt;="&amp;DATE(2026,9,27))+SUMIFS(Rabu!$H$7:$H$206,Rabu!$C$7:$C$206,$B31,Rabu!$A$7:$A$206,"&gt;="&amp;DATE(2026,9,21),Rabu!$A$7:$A$206,"&lt;="&amp;DATE(2026,9,27))+SUMIFS(Kamis!$H$7:$H$186,Kamis!$C$7:$C$186,$B31,Kamis!$A$7:$A$186,"&gt;="&amp;DATE(2026,9,21),Kamis!$A$7:$A$186,"&lt;="&amp;DATE(2026,9,27))+SUMIFS(Jumat!$H$7:$H$186,Jumat!$C$7:$C$186,$B31,Jumat!$A$7:$A$186,"&gt;="&amp;DATE(2026,9,21),Jumat!$A$7:$A$186,"&lt;="&amp;DATE(2026,9,27))</f>
        <v>0</v>
      </c>
      <c r="O31" s="45">
        <f>SUMIFS(Senin!$H$7:$H$146,Senin!$C$7:$C$146,$B31,Senin!$A$7:$A$146,"&gt;="&amp;DATE(2026,9,28),Senin!$A$7:$A$146,"&lt;="&amp;DATE(2026,10,4))+SUMIFS(Selasa!$H$7:$H$166,Selasa!$C$7:$C$166,$B31,Selasa!$A$7:$A$166,"&gt;="&amp;DATE(2026,9,28),Selasa!$A$7:$A$166,"&lt;="&amp;DATE(2026,10,4))+SUMIFS(Rabu!$H$7:$H$206,Rabu!$C$7:$C$206,$B31,Rabu!$A$7:$A$206,"&gt;="&amp;DATE(2026,9,28),Rabu!$A$7:$A$206,"&lt;="&amp;DATE(2026,10,4))+SUMIFS(Kamis!$H$7:$H$186,Kamis!$C$7:$C$186,$B31,Kamis!$A$7:$A$186,"&gt;="&amp;DATE(2026,9,28),Kamis!$A$7:$A$186,"&lt;="&amp;DATE(2026,10,4))+SUMIFS(Jumat!$H$7:$H$186,Jumat!$C$7:$C$186,$B31,Jumat!$A$7:$A$186,"&gt;="&amp;DATE(2026,9,28),Jumat!$A$7:$A$186,"&lt;="&amp;DATE(2026,10,4))</f>
        <v>0</v>
      </c>
      <c r="P31" s="45">
        <f>SUMIFS(Senin!$H$7:$H$146,Senin!$C$7:$C$146,$B31,Senin!$A$7:$A$146,"&gt;="&amp;DATE(2026,10,5),Senin!$A$7:$A$146,"&lt;="&amp;DATE(2026,10,11))+SUMIFS(Selasa!$H$7:$H$166,Selasa!$C$7:$C$166,$B31,Selasa!$A$7:$A$166,"&gt;="&amp;DATE(2026,10,5),Selasa!$A$7:$A$166,"&lt;="&amp;DATE(2026,10,11))+SUMIFS(Rabu!$H$7:$H$206,Rabu!$C$7:$C$206,$B31,Rabu!$A$7:$A$206,"&gt;="&amp;DATE(2026,10,5),Rabu!$A$7:$A$206,"&lt;="&amp;DATE(2026,10,11))+SUMIFS(Kamis!$H$7:$H$186,Kamis!$C$7:$C$186,$B31,Kamis!$A$7:$A$186,"&gt;="&amp;DATE(2026,10,5),Kamis!$A$7:$A$186,"&lt;="&amp;DATE(2026,10,11))+SUMIFS(Jumat!$H$7:$H$186,Jumat!$C$7:$C$186,$B31,Jumat!$A$7:$A$186,"&gt;="&amp;DATE(2026,10,5),Jumat!$A$7:$A$186,"&lt;="&amp;DATE(2026,10,11))</f>
        <v>0</v>
      </c>
      <c r="Q31" s="45">
        <f>SUMIFS(Senin!$H$7:$H$146,Senin!$C$7:$C$146,$B31,Senin!$A$7:$A$146,"&gt;="&amp;DATE(2026,10,12),Senin!$A$7:$A$146,"&lt;="&amp;DATE(2026,10,18))+SUMIFS(Selasa!$H$7:$H$166,Selasa!$C$7:$C$166,$B31,Selasa!$A$7:$A$166,"&gt;="&amp;DATE(2026,10,12),Selasa!$A$7:$A$166,"&lt;="&amp;DATE(2026,10,18))+SUMIFS(Rabu!$H$7:$H$206,Rabu!$C$7:$C$206,$B31,Rabu!$A$7:$A$206,"&gt;="&amp;DATE(2026,10,12),Rabu!$A$7:$A$206,"&lt;="&amp;DATE(2026,10,18))+SUMIFS(Kamis!$H$7:$H$186,Kamis!$C$7:$C$186,$B31,Kamis!$A$7:$A$186,"&gt;="&amp;DATE(2026,10,12),Kamis!$A$7:$A$186,"&lt;="&amp;DATE(2026,10,18))+SUMIFS(Jumat!$H$7:$H$186,Jumat!$C$7:$C$186,$B31,Jumat!$A$7:$A$186,"&gt;="&amp;DATE(2026,10,12),Jumat!$A$7:$A$186,"&lt;="&amp;DATE(2026,10,18))</f>
        <v>0</v>
      </c>
      <c r="R31" s="45">
        <f>SUMIFS(Senin!$H$7:$H$146,Senin!$C$7:$C$146,$B31,Senin!$A$7:$A$146,"&gt;="&amp;DATE(2026,10,19),Senin!$A$7:$A$146,"&lt;="&amp;DATE(2026,10,25))+SUMIFS(Selasa!$H$7:$H$166,Selasa!$C$7:$C$166,$B31,Selasa!$A$7:$A$166,"&gt;="&amp;DATE(2026,10,19),Selasa!$A$7:$A$166,"&lt;="&amp;DATE(2026,10,25))+SUMIFS(Rabu!$H$7:$H$206,Rabu!$C$7:$C$206,$B31,Rabu!$A$7:$A$206,"&gt;="&amp;DATE(2026,10,19),Rabu!$A$7:$A$206,"&lt;="&amp;DATE(2026,10,25))+SUMIFS(Kamis!$H$7:$H$186,Kamis!$C$7:$C$186,$B31,Kamis!$A$7:$A$186,"&gt;="&amp;DATE(2026,10,19),Kamis!$A$7:$A$186,"&lt;="&amp;DATE(2026,10,25))+SUMIFS(Jumat!$H$7:$H$186,Jumat!$C$7:$C$186,$B31,Jumat!$A$7:$A$186,"&gt;="&amp;DATE(2026,10,19),Jumat!$A$7:$A$186,"&lt;="&amp;DATE(2026,10,25))</f>
        <v>0</v>
      </c>
      <c r="S31" s="45">
        <f>SUMIFS(Senin!$H$7:$H$146,Senin!$C$7:$C$146,$B31,Senin!$A$7:$A$146,"&gt;="&amp;DATE(2026,10,26),Senin!$A$7:$A$146,"&lt;="&amp;DATE(2026,11,1))+SUMIFS(Selasa!$H$7:$H$166,Selasa!$C$7:$C$166,$B31,Selasa!$A$7:$A$166,"&gt;="&amp;DATE(2026,10,26),Selasa!$A$7:$A$166,"&lt;="&amp;DATE(2026,11,1))+SUMIFS(Rabu!$H$7:$H$206,Rabu!$C$7:$C$206,$B31,Rabu!$A$7:$A$206,"&gt;="&amp;DATE(2026,10,26),Rabu!$A$7:$A$206,"&lt;="&amp;DATE(2026,11,1))+SUMIFS(Kamis!$H$7:$H$186,Kamis!$C$7:$C$186,$B31,Kamis!$A$7:$A$186,"&gt;="&amp;DATE(2026,10,26),Kamis!$A$7:$A$186,"&lt;="&amp;DATE(2026,11,1))+SUMIFS(Jumat!$H$7:$H$186,Jumat!$C$7:$C$186,$B31,Jumat!$A$7:$A$186,"&gt;="&amp;DATE(2026,10,26),Jumat!$A$7:$A$186,"&lt;="&amp;DATE(2026,11,1))</f>
        <v>0</v>
      </c>
      <c r="T31" s="45">
        <f>SUMIFS(Senin!$H$7:$H$146,Senin!$C$7:$C$146,$B31,Senin!$A$7:$A$146,"&gt;="&amp;DATE(2026,11,2),Senin!$A$7:$A$146,"&lt;="&amp;DATE(2026,11,8))+SUMIFS(Selasa!$H$7:$H$166,Selasa!$C$7:$C$166,$B31,Selasa!$A$7:$A$166,"&gt;="&amp;DATE(2026,11,2),Selasa!$A$7:$A$166,"&lt;="&amp;DATE(2026,11,8))+SUMIFS(Rabu!$H$7:$H$206,Rabu!$C$7:$C$206,$B31,Rabu!$A$7:$A$206,"&gt;="&amp;DATE(2026,11,2),Rabu!$A$7:$A$206,"&lt;="&amp;DATE(2026,11,8))+SUMIFS(Kamis!$H$7:$H$186,Kamis!$C$7:$C$186,$B31,Kamis!$A$7:$A$186,"&gt;="&amp;DATE(2026,11,2),Kamis!$A$7:$A$186,"&lt;="&amp;DATE(2026,11,8))+SUMIFS(Jumat!$H$7:$H$186,Jumat!$C$7:$C$186,$B31,Jumat!$A$7:$A$186,"&gt;="&amp;DATE(2026,11,2),Jumat!$A$7:$A$186,"&lt;="&amp;DATE(2026,11,8))</f>
        <v>0</v>
      </c>
      <c r="U31" s="45">
        <f>SUMIFS(Senin!$H$7:$H$146,Senin!$C$7:$C$146,$B31,Senin!$A$7:$A$146,"&gt;="&amp;DATE(2026,11,9),Senin!$A$7:$A$146,"&lt;="&amp;DATE(2026,11,15))+SUMIFS(Selasa!$H$7:$H$166,Selasa!$C$7:$C$166,$B31,Selasa!$A$7:$A$166,"&gt;="&amp;DATE(2026,11,9),Selasa!$A$7:$A$166,"&lt;="&amp;DATE(2026,11,15))+SUMIFS(Rabu!$H$7:$H$206,Rabu!$C$7:$C$206,$B31,Rabu!$A$7:$A$206,"&gt;="&amp;DATE(2026,11,9),Rabu!$A$7:$A$206,"&lt;="&amp;DATE(2026,11,15))+SUMIFS(Kamis!$H$7:$H$186,Kamis!$C$7:$C$186,$B31,Kamis!$A$7:$A$186,"&gt;="&amp;DATE(2026,11,9),Kamis!$A$7:$A$186,"&lt;="&amp;DATE(2026,11,15))+SUMIFS(Jumat!$H$7:$H$186,Jumat!$C$7:$C$186,$B31,Jumat!$A$7:$A$186,"&gt;="&amp;DATE(2026,11,9),Jumat!$A$7:$A$186,"&lt;="&amp;DATE(2026,11,15))</f>
        <v>0</v>
      </c>
      <c r="V31" s="45">
        <f>SUMIFS(Senin!$H$7:$H$146,Senin!$C$7:$C$146,$B31,Senin!$A$7:$A$146,"&gt;="&amp;DATE(2026,11,16),Senin!$A$7:$A$146,"&lt;="&amp;DATE(2026,11,22))+SUMIFS(Selasa!$H$7:$H$166,Selasa!$C$7:$C$166,$B31,Selasa!$A$7:$A$166,"&gt;="&amp;DATE(2026,11,16),Selasa!$A$7:$A$166,"&lt;="&amp;DATE(2026,11,22))+SUMIFS(Rabu!$H$7:$H$206,Rabu!$C$7:$C$206,$B31,Rabu!$A$7:$A$206,"&gt;="&amp;DATE(2026,11,16),Rabu!$A$7:$A$206,"&lt;="&amp;DATE(2026,11,22))+SUMIFS(Kamis!$H$7:$H$186,Kamis!$C$7:$C$186,$B31,Kamis!$A$7:$A$186,"&gt;="&amp;DATE(2026,11,16),Kamis!$A$7:$A$186,"&lt;="&amp;DATE(2026,11,22))+SUMIFS(Jumat!$H$7:$H$186,Jumat!$C$7:$C$186,$B31,Jumat!$A$7:$A$186,"&gt;="&amp;DATE(2026,11,16),Jumat!$A$7:$A$186,"&lt;="&amp;DATE(2026,11,22))</f>
        <v>0</v>
      </c>
      <c r="W31" s="45">
        <f>SUMIFS(Senin!$H$7:$H$146,Senin!$C$7:$C$146,$B31,Senin!$A$7:$A$146,"&gt;="&amp;DATE(2026,11,23),Senin!$A$7:$A$146,"&lt;="&amp;DATE(2026,11,29))+SUMIFS(Selasa!$H$7:$H$166,Selasa!$C$7:$C$166,$B31,Selasa!$A$7:$A$166,"&gt;="&amp;DATE(2026,11,23),Selasa!$A$7:$A$166,"&lt;="&amp;DATE(2026,11,29))+SUMIFS(Rabu!$H$7:$H$206,Rabu!$C$7:$C$206,$B31,Rabu!$A$7:$A$206,"&gt;="&amp;DATE(2026,11,23),Rabu!$A$7:$A$206,"&lt;="&amp;DATE(2026,11,29))+SUMIFS(Kamis!$H$7:$H$186,Kamis!$C$7:$C$186,$B31,Kamis!$A$7:$A$186,"&gt;="&amp;DATE(2026,11,23),Kamis!$A$7:$A$186,"&lt;="&amp;DATE(2026,11,29))+SUMIFS(Jumat!$H$7:$H$186,Jumat!$C$7:$C$186,$B31,Jumat!$A$7:$A$186,"&gt;="&amp;DATE(2026,11,23),Jumat!$A$7:$A$186,"&lt;="&amp;DATE(2026,11,29))</f>
        <v>0</v>
      </c>
      <c r="X31" s="45">
        <f>SUMIFS(Senin!$H$7:$H$146,Senin!$C$7:$C$146,$B31,Senin!$A$7:$A$146,"&gt;="&amp;DATE(2026,11,30),Senin!$A$7:$A$146,"&lt;="&amp;DATE(2026,12,6))+SUMIFS(Selasa!$H$7:$H$166,Selasa!$C$7:$C$166,$B31,Selasa!$A$7:$A$166,"&gt;="&amp;DATE(2026,11,30),Selasa!$A$7:$A$166,"&lt;="&amp;DATE(2026,12,6))+SUMIFS(Rabu!$H$7:$H$206,Rabu!$C$7:$C$206,$B31,Rabu!$A$7:$A$206,"&gt;="&amp;DATE(2026,11,30),Rabu!$A$7:$A$206,"&lt;="&amp;DATE(2026,12,6))+SUMIFS(Kamis!$H$7:$H$186,Kamis!$C$7:$C$186,$B31,Kamis!$A$7:$A$186,"&gt;="&amp;DATE(2026,11,30),Kamis!$A$7:$A$186,"&lt;="&amp;DATE(2026,12,6))+SUMIFS(Jumat!$H$7:$H$186,Jumat!$C$7:$C$186,$B31,Jumat!$A$7:$A$186,"&gt;="&amp;DATE(2026,11,30),Jumat!$A$7:$A$186,"&lt;="&amp;DATE(2026,12,6))</f>
        <v>0</v>
      </c>
      <c r="Y31" s="45">
        <f>SUMIFS(Senin!$H$7:$H$146,Senin!$C$7:$C$146,$B31,Senin!$A$7:$A$146,"&gt;="&amp;DATE(2026,12,7),Senin!$A$7:$A$146,"&lt;="&amp;DATE(2026,12,13))+SUMIFS(Selasa!$H$7:$H$166,Selasa!$C$7:$C$166,$B31,Selasa!$A$7:$A$166,"&gt;="&amp;DATE(2026,12,7),Selasa!$A$7:$A$166,"&lt;="&amp;DATE(2026,12,13))+SUMIFS(Rabu!$H$7:$H$206,Rabu!$C$7:$C$206,$B31,Rabu!$A$7:$A$206,"&gt;="&amp;DATE(2026,12,7),Rabu!$A$7:$A$206,"&lt;="&amp;DATE(2026,12,13))+SUMIFS(Kamis!$H$7:$H$186,Kamis!$C$7:$C$186,$B31,Kamis!$A$7:$A$186,"&gt;="&amp;DATE(2026,12,7),Kamis!$A$7:$A$186,"&lt;="&amp;DATE(2026,12,13))+SUMIFS(Jumat!$H$7:$H$186,Jumat!$C$7:$C$186,$B31,Jumat!$A$7:$A$186,"&gt;="&amp;DATE(2026,12,7),Jumat!$A$7:$A$186,"&lt;="&amp;DATE(2026,12,13))</f>
        <v>0</v>
      </c>
      <c r="Z31" s="45">
        <f>SUMIFS(Senin!$H$7:$H$146,Senin!$C$7:$C$146,$B31,Senin!$A$7:$A$146,"&gt;="&amp;DATE(2026,12,14),Senin!$A$7:$A$146,"&lt;="&amp;DATE(2026,12,20))+SUMIFS(Selasa!$H$7:$H$166,Selasa!$C$7:$C$166,$B31,Selasa!$A$7:$A$166,"&gt;="&amp;DATE(2026,12,14),Selasa!$A$7:$A$166,"&lt;="&amp;DATE(2026,12,20))+SUMIFS(Rabu!$H$7:$H$206,Rabu!$C$7:$C$206,$B31,Rabu!$A$7:$A$206,"&gt;="&amp;DATE(2026,12,14),Rabu!$A$7:$A$206,"&lt;="&amp;DATE(2026,12,20))+SUMIFS(Kamis!$H$7:$H$186,Kamis!$C$7:$C$186,$B31,Kamis!$A$7:$A$186,"&gt;="&amp;DATE(2026,12,14),Kamis!$A$7:$A$186,"&lt;="&amp;DATE(2026,12,20))+SUMIFS(Jumat!$H$7:$H$186,Jumat!$C$7:$C$186,$B31,Jumat!$A$7:$A$186,"&gt;="&amp;DATE(2026,12,14),Jumat!$A$7:$A$186,"&lt;="&amp;DATE(2026,12,20))</f>
        <v>0</v>
      </c>
      <c r="AA31" s="45">
        <f>SUMIFS(Senin!$H$7:$H$146,Senin!$C$7:$C$146,$B31,Senin!$A$7:$A$146,"&gt;="&amp;DATE(2026,12,21),Senin!$A$7:$A$146,"&lt;="&amp;DATE(2026,12,27))+SUMIFS(Selasa!$H$7:$H$166,Selasa!$C$7:$C$166,$B31,Selasa!$A$7:$A$166,"&gt;="&amp;DATE(2026,12,21),Selasa!$A$7:$A$166,"&lt;="&amp;DATE(2026,12,27))+SUMIFS(Rabu!$H$7:$H$206,Rabu!$C$7:$C$206,$B31,Rabu!$A$7:$A$206,"&gt;="&amp;DATE(2026,12,21),Rabu!$A$7:$A$206,"&lt;="&amp;DATE(2026,12,27))+SUMIFS(Kamis!$H$7:$H$186,Kamis!$C$7:$C$186,$B31,Kamis!$A$7:$A$186,"&gt;="&amp;DATE(2026,12,21),Kamis!$A$7:$A$186,"&lt;="&amp;DATE(2026,12,27))+SUMIFS(Jumat!$H$7:$H$186,Jumat!$C$7:$C$186,$B31,Jumat!$A$7:$A$186,"&gt;="&amp;DATE(2026,12,21),Jumat!$A$7:$A$186,"&lt;="&amp;DATE(2026,12,27))</f>
        <v>0</v>
      </c>
      <c r="AB31" s="45">
        <f>SUMIFS(Senin!$H$7:$H$146,Senin!$C$7:$C$146,$B31,Senin!$A$7:$A$146,"&gt;="&amp;DATE(2026,12,28),Senin!$A$7:$A$146,"&lt;="&amp;DATE(2027,1,3))+SUMIFS(Selasa!$H$7:$H$166,Selasa!$C$7:$C$166,$B31,Selasa!$A$7:$A$166,"&gt;="&amp;DATE(2026,12,28),Selasa!$A$7:$A$166,"&lt;="&amp;DATE(2027,1,3))+SUMIFS(Rabu!$H$7:$H$206,Rabu!$C$7:$C$206,$B31,Rabu!$A$7:$A$206,"&gt;="&amp;DATE(2026,12,28),Rabu!$A$7:$A$206,"&lt;="&amp;DATE(2027,1,3))+SUMIFS(Kamis!$H$7:$H$186,Kamis!$C$7:$C$186,$B31,Kamis!$A$7:$A$186,"&gt;="&amp;DATE(2026,12,28),Kamis!$A$7:$A$186,"&lt;="&amp;DATE(2027,1,3))+SUMIFS(Jumat!$H$7:$H$186,Jumat!$C$7:$C$186,$B31,Jumat!$A$7:$A$186,"&gt;="&amp;DATE(2026,12,28),Jumat!$A$7:$A$186,"&lt;="&amp;DATE(2027,1,3))</f>
        <v>0</v>
      </c>
      <c r="AC31" s="45">
        <f>SUMIFS(Senin!$H$7:$H$146,Senin!$C$7:$C$146,$B31,Senin!$A$7:$A$146,"&gt;="&amp;DATE(2027,1,4),Senin!$A$7:$A$146,"&lt;="&amp;DATE(2027,1,10))+SUMIFS(Selasa!$H$7:$H$166,Selasa!$C$7:$C$166,$B31,Selasa!$A$7:$A$166,"&gt;="&amp;DATE(2027,1,4),Selasa!$A$7:$A$166,"&lt;="&amp;DATE(2027,1,10))+SUMIFS(Rabu!$H$7:$H$206,Rabu!$C$7:$C$206,$B31,Rabu!$A$7:$A$206,"&gt;="&amp;DATE(2027,1,4),Rabu!$A$7:$A$206,"&lt;="&amp;DATE(2027,1,10))+SUMIFS(Kamis!$H$7:$H$186,Kamis!$C$7:$C$186,$B31,Kamis!$A$7:$A$186,"&gt;="&amp;DATE(2027,1,4),Kamis!$A$7:$A$186,"&lt;="&amp;DATE(2027,1,10))+SUMIFS(Jumat!$H$7:$H$186,Jumat!$C$7:$C$186,$B31,Jumat!$A$7:$A$186,"&gt;="&amp;DATE(2027,1,4),Jumat!$A$7:$A$186,"&lt;="&amp;DATE(2027,1,10))</f>
        <v>0</v>
      </c>
      <c r="AD31" s="45">
        <f>SUMIFS(Senin!$H$7:$H$146,Senin!$C$7:$C$146,$B31,Senin!$A$7:$A$146,"&gt;="&amp;DATE(2027,1,11),Senin!$A$7:$A$146,"&lt;="&amp;DATE(2027,1,17))+SUMIFS(Selasa!$H$7:$H$166,Selasa!$C$7:$C$166,$B31,Selasa!$A$7:$A$166,"&gt;="&amp;DATE(2027,1,11),Selasa!$A$7:$A$166,"&lt;="&amp;DATE(2027,1,17))+SUMIFS(Rabu!$H$7:$H$206,Rabu!$C$7:$C$206,$B31,Rabu!$A$7:$A$206,"&gt;="&amp;DATE(2027,1,11),Rabu!$A$7:$A$206,"&lt;="&amp;DATE(2027,1,17))+SUMIFS(Kamis!$H$7:$H$186,Kamis!$C$7:$C$186,$B31,Kamis!$A$7:$A$186,"&gt;="&amp;DATE(2027,1,11),Kamis!$A$7:$A$186,"&lt;="&amp;DATE(2027,1,17))+SUMIFS(Jumat!$H$7:$H$186,Jumat!$C$7:$C$186,$B31,Jumat!$A$7:$A$186,"&gt;="&amp;DATE(2027,1,11),Jumat!$A$7:$A$186,"&lt;="&amp;DATE(2027,1,17))</f>
        <v>0</v>
      </c>
    </row>
    <row r="32" ht="15.75" customHeight="1">
      <c r="A32" s="27">
        <v>29.0</v>
      </c>
      <c r="B32" s="61" t="s">
        <v>107</v>
      </c>
      <c r="C32" s="41">
        <f>COUNTIFS(Senin!$C$7:$C$146,$B32,Senin!$G$7:$G$146,"Ya",Senin!$E$7:$E$146,"&lt;&gt;")+COUNTIFS(Selasa!$C$7:$C$166,$B32,Selasa!$G$7:$G$166,"Ya",Selasa!$E$7:$E$166,"&lt;&gt;")+COUNTIFS(Rabu!$C$7:$C$206,$B32,Rabu!$G$7:$G$206,"Ya",Rabu!$E$7:$E$206,"&lt;&gt;")+COUNTIFS(Kamis!$C$7:$C$186,$B32,Kamis!$G$7:$G$186,"Ya",Kamis!$E$7:$E$186,"&lt;&gt;")+COUNTIFS(Jumat!$C$7:$C$186,$B32,Jumat!$G$7:$G$186,"Ya",Jumat!$E$7:$E$186,"&lt;&gt;")</f>
        <v>0</v>
      </c>
      <c r="D32" s="41">
        <f>COUNTIFS(Senin!$C$7:$C$146,$B32,Senin!$G$7:$G$146,"Ya",Senin!$E$7:$E$146,"")+COUNTIFS(Selasa!$C$7:$C$166,$B32,Selasa!$G$7:$G$166,"Ya",Selasa!$E$7:$E$166,"")+COUNTIFS(Rabu!$C$7:$C$206,$B32,Rabu!$G$7:$G$206,"Ya",Rabu!$E$7:$E$206,"")+COUNTIFS(Kamis!$C$7:$C$186,$B32,Kamis!$G$7:$G$186,"Ya",Kamis!$E$7:$E$186,"")+COUNTIFS(Jumat!$C$7:$C$186,$B32,Jumat!$G$7:$G$186,"Ya",Jumat!$E$7:$E$186,"")</f>
        <v>1</v>
      </c>
      <c r="E32" s="45">
        <f>SUMIFS(Senin!$H$7:$H$146,Senin!$C$7:$C$146,$B32,Senin!$A$7:$A$146,"&gt;="&amp;DATE(2026,8,1),Senin!$A$7:$A$146,"&lt;="&amp;DATE(2026,12,31))+SUMIFS(Selasa!$H$7:$H$166,Selasa!$C$7:$C$166,$B32,Selasa!$A$7:$A$166,"&gt;="&amp;DATE(2026,8,1),Selasa!$A$7:$A$166,"&lt;="&amp;DATE(2026,12,31))+SUMIFS(Rabu!$H$7:$H$206,Rabu!$C$7:$C$206,$B32,Rabu!$A$7:$A$206,"&gt;="&amp;DATE(2026,8,1),Rabu!$A$7:$A$206,"&lt;="&amp;DATE(2026,12,31))+SUMIFS(Kamis!$H$7:$H$186,Kamis!$C$7:$C$186,$B32,Kamis!$A$7:$A$186,"&gt;="&amp;DATE(2026,8,1),Kamis!$A$7:$A$186,"&lt;="&amp;DATE(2026,12,31))+SUMIFS(Jumat!$H$7:$H$186,Jumat!$C$7:$C$186,$B32,Jumat!$A$7:$A$186,"&gt;="&amp;DATE(2026,8,1),Jumat!$A$7:$A$186,"&lt;="&amp;DATE(2026,12,31))</f>
        <v>10000</v>
      </c>
      <c r="F32" s="45">
        <f>SUMIFS(Senin!$H$7:$H$146,Senin!$C$7:$C$146,$B32,Senin!$A$7:$A$146,"&gt;="&amp;DATE(2026,8,1),Senin!$A$7:$A$146,"&lt;="&amp;DATE(2026,8,31))+SUMIFS(Selasa!$H$7:$H$166,Selasa!$C$7:$C$166,$B32,Selasa!$A$7:$A$166,"&gt;="&amp;DATE(2026,8,1),Selasa!$A$7:$A$166,"&lt;="&amp;DATE(2026,8,31))+SUMIFS(Rabu!$H$7:$H$206,Rabu!$C$7:$C$206,$B32,Rabu!$A$7:$A$206,"&gt;="&amp;DATE(2026,8,1),Rabu!$A$7:$A$206,"&lt;="&amp;DATE(2026,8,31))+SUMIFS(Kamis!$H$7:$H$186,Kamis!$C$7:$C$186,$B32,Kamis!$A$7:$A$186,"&gt;="&amp;DATE(2026,8,1),Kamis!$A$7:$A$186,"&lt;="&amp;DATE(2026,8,31))+SUMIFS(Jumat!$H$7:$H$186,Jumat!$C$7:$C$186,$B32,Jumat!$A$7:$A$186,"&gt;="&amp;DATE(2026,8,1),Jumat!$A$7:$A$186,"&lt;="&amp;DATE(2026,8,31))</f>
        <v>0</v>
      </c>
      <c r="G32" s="45">
        <f>SUMIFS(Senin!$H$7:$H$146,Senin!$C$7:$C$146,$B32,Senin!$A$7:$A$146,"&gt;="&amp;DATE(2026,9,1),Senin!$A$7:$A$146,"&lt;="&amp;DATE(2026,9,30))+SUMIFS(Selasa!$H$7:$H$166,Selasa!$C$7:$C$166,$B32,Selasa!$A$7:$A$166,"&gt;="&amp;DATE(2026,9,1),Selasa!$A$7:$A$166,"&lt;="&amp;DATE(2026,9,30))+SUMIFS(Rabu!$H$7:$H$206,Rabu!$C$7:$C$206,$B32,Rabu!$A$7:$A$206,"&gt;="&amp;DATE(2026,9,1),Rabu!$A$7:$A$206,"&lt;="&amp;DATE(2026,9,30))+SUMIFS(Kamis!$H$7:$H$186,Kamis!$C$7:$C$186,$B32,Kamis!$A$7:$A$186,"&gt;="&amp;DATE(2026,9,1),Kamis!$A$7:$A$186,"&lt;="&amp;DATE(2026,9,30))+SUMIFS(Jumat!$H$7:$H$186,Jumat!$C$7:$C$186,$B32,Jumat!$A$7:$A$186,"&gt;="&amp;DATE(2026,9,1),Jumat!$A$7:$A$186,"&lt;="&amp;DATE(2026,9,30))</f>
        <v>10000</v>
      </c>
      <c r="H32" s="45">
        <f>SUMIFS(Senin!$H$7:$H$146,Senin!$C$7:$C$146,$B32,Senin!$A$7:$A$146,"&gt;="&amp;DATE(2026,10,1),Senin!$A$7:$A$146,"&lt;="&amp;DATE(2026,10,31))+SUMIFS(Selasa!$H$7:$H$166,Selasa!$C$7:$C$166,$B32,Selasa!$A$7:$A$166,"&gt;="&amp;DATE(2026,10,1),Selasa!$A$7:$A$166,"&lt;="&amp;DATE(2026,10,31))+SUMIFS(Rabu!$H$7:$H$206,Rabu!$C$7:$C$206,$B32,Rabu!$A$7:$A$206,"&gt;="&amp;DATE(2026,10,1),Rabu!$A$7:$A$206,"&lt;="&amp;DATE(2026,10,31))+SUMIFS(Kamis!$H$7:$H$186,Kamis!$C$7:$C$186,$B32,Kamis!$A$7:$A$186,"&gt;="&amp;DATE(2026,10,1),Kamis!$A$7:$A$186,"&lt;="&amp;DATE(2026,10,31))+SUMIFS(Jumat!$H$7:$H$186,Jumat!$C$7:$C$186,$B32,Jumat!$A$7:$A$186,"&gt;="&amp;DATE(2026,10,1),Jumat!$A$7:$A$186,"&lt;="&amp;DATE(2026,10,31))</f>
        <v>0</v>
      </c>
      <c r="I32" s="45">
        <f>SUMIFS(Senin!$H$7:$H$146,Senin!$C$7:$C$146,$B32,Senin!$A$7:$A$146,"&gt;="&amp;DATE(2026,11,1),Senin!$A$7:$A$146,"&lt;="&amp;DATE(2026,11,30))+SUMIFS(Selasa!$H$7:$H$166,Selasa!$C$7:$C$166,$B32,Selasa!$A$7:$A$166,"&gt;="&amp;DATE(2026,11,1),Selasa!$A$7:$A$166,"&lt;="&amp;DATE(2026,11,30))+SUMIFS(Rabu!$H$7:$H$206,Rabu!$C$7:$C$206,$B32,Rabu!$A$7:$A$206,"&gt;="&amp;DATE(2026,11,1),Rabu!$A$7:$A$206,"&lt;="&amp;DATE(2026,11,30))+SUMIFS(Kamis!$H$7:$H$186,Kamis!$C$7:$C$186,$B32,Kamis!$A$7:$A$186,"&gt;="&amp;DATE(2026,11,1),Kamis!$A$7:$A$186,"&lt;="&amp;DATE(2026,11,30))+SUMIFS(Jumat!$H$7:$H$186,Jumat!$C$7:$C$186,$B32,Jumat!$A$7:$A$186,"&gt;="&amp;DATE(2026,11,1),Jumat!$A$7:$A$186,"&lt;="&amp;DATE(2026,11,30))</f>
        <v>0</v>
      </c>
      <c r="J32" s="45">
        <f>SUMIFS(Senin!$H$7:$H$146,Senin!$C$7:$C$146,$B32,Senin!$A$7:$A$146,"&gt;="&amp;DATE(2026,12,1),Senin!$A$7:$A$146,"&lt;="&amp;DATE(2026,12,31))+SUMIFS(Selasa!$H$7:$H$166,Selasa!$C$7:$C$166,$B32,Selasa!$A$7:$A$166,"&gt;="&amp;DATE(2026,12,1),Selasa!$A$7:$A$166,"&lt;="&amp;DATE(2026,12,31))+SUMIFS(Rabu!$H$7:$H$206,Rabu!$C$7:$C$206,$B32,Rabu!$A$7:$A$206,"&gt;="&amp;DATE(2026,12,1),Rabu!$A$7:$A$206,"&lt;="&amp;DATE(2026,12,31))+SUMIFS(Kamis!$H$7:$H$186,Kamis!$C$7:$C$186,$B32,Kamis!$A$7:$A$186,"&gt;="&amp;DATE(2026,12,1),Kamis!$A$7:$A$186,"&lt;="&amp;DATE(2026,12,31))+SUMIFS(Jumat!$H$7:$H$186,Jumat!$C$7:$C$186,$B32,Jumat!$A$7:$A$186,"&gt;="&amp;DATE(2026,12,1),Jumat!$A$7:$A$186,"&lt;="&amp;DATE(2026,12,31))</f>
        <v>0</v>
      </c>
      <c r="K32" s="45">
        <f>SUMIFS(Senin!$H$7:$H$146,Senin!$C$7:$C$146,$B32,Senin!$A$7:$A$146,"&gt;="&amp;DATE(2026,8,31),Senin!$A$7:$A$146,"&lt;="&amp;DATE(2026,9,6))+SUMIFS(Selasa!$H$7:$H$166,Selasa!$C$7:$C$166,$B32,Selasa!$A$7:$A$166,"&gt;="&amp;DATE(2026,8,31),Selasa!$A$7:$A$166,"&lt;="&amp;DATE(2026,9,6))+SUMIFS(Rabu!$H$7:$H$206,Rabu!$C$7:$C$206,$B32,Rabu!$A$7:$A$206,"&gt;="&amp;DATE(2026,8,31),Rabu!$A$7:$A$206,"&lt;="&amp;DATE(2026,9,6))+SUMIFS(Kamis!$H$7:$H$186,Kamis!$C$7:$C$186,$B32,Kamis!$A$7:$A$186,"&gt;="&amp;DATE(2026,8,31),Kamis!$A$7:$A$186,"&lt;="&amp;DATE(2026,9,6))+SUMIFS(Jumat!$H$7:$H$186,Jumat!$C$7:$C$186,$B32,Jumat!$A$7:$A$186,"&gt;="&amp;DATE(2026,8,31),Jumat!$A$7:$A$186,"&lt;="&amp;DATE(2026,9,6))</f>
        <v>10000</v>
      </c>
      <c r="L32" s="45">
        <f>SUMIFS(Senin!$H$7:$H$146,Senin!$C$7:$C$146,$B32,Senin!$A$7:$A$146,"&gt;="&amp;DATE(2026,9,7),Senin!$A$7:$A$146,"&lt;="&amp;DATE(2026,9,13))+SUMIFS(Selasa!$H$7:$H$166,Selasa!$C$7:$C$166,$B32,Selasa!$A$7:$A$166,"&gt;="&amp;DATE(2026,9,7),Selasa!$A$7:$A$166,"&lt;="&amp;DATE(2026,9,13))+SUMIFS(Rabu!$H$7:$H$206,Rabu!$C$7:$C$206,$B32,Rabu!$A$7:$A$206,"&gt;="&amp;DATE(2026,9,7),Rabu!$A$7:$A$206,"&lt;="&amp;DATE(2026,9,13))+SUMIFS(Kamis!$H$7:$H$186,Kamis!$C$7:$C$186,$B32,Kamis!$A$7:$A$186,"&gt;="&amp;DATE(2026,9,7),Kamis!$A$7:$A$186,"&lt;="&amp;DATE(2026,9,13))+SUMIFS(Jumat!$H$7:$H$186,Jumat!$C$7:$C$186,$B32,Jumat!$A$7:$A$186,"&gt;="&amp;DATE(2026,9,7),Jumat!$A$7:$A$186,"&lt;="&amp;DATE(2026,9,13))</f>
        <v>0</v>
      </c>
      <c r="M32" s="45">
        <f>SUMIFS(Senin!$H$7:$H$146,Senin!$C$7:$C$146,$B32,Senin!$A$7:$A$146,"&gt;="&amp;DATE(2026,9,14),Senin!$A$7:$A$146,"&lt;="&amp;DATE(2026,9,20))+SUMIFS(Selasa!$H$7:$H$166,Selasa!$C$7:$C$166,$B32,Selasa!$A$7:$A$166,"&gt;="&amp;DATE(2026,9,14),Selasa!$A$7:$A$166,"&lt;="&amp;DATE(2026,9,20))+SUMIFS(Rabu!$H$7:$H$206,Rabu!$C$7:$C$206,$B32,Rabu!$A$7:$A$206,"&gt;="&amp;DATE(2026,9,14),Rabu!$A$7:$A$206,"&lt;="&amp;DATE(2026,9,20))+SUMIFS(Kamis!$H$7:$H$186,Kamis!$C$7:$C$186,$B32,Kamis!$A$7:$A$186,"&gt;="&amp;DATE(2026,9,14),Kamis!$A$7:$A$186,"&lt;="&amp;DATE(2026,9,20))+SUMIFS(Jumat!$H$7:$H$186,Jumat!$C$7:$C$186,$B32,Jumat!$A$7:$A$186,"&gt;="&amp;DATE(2026,9,14),Jumat!$A$7:$A$186,"&lt;="&amp;DATE(2026,9,20))</f>
        <v>0</v>
      </c>
      <c r="N32" s="45">
        <f>SUMIFS(Senin!$H$7:$H$146,Senin!$C$7:$C$146,$B32,Senin!$A$7:$A$146,"&gt;="&amp;DATE(2026,9,21),Senin!$A$7:$A$146,"&lt;="&amp;DATE(2026,9,27))+SUMIFS(Selasa!$H$7:$H$166,Selasa!$C$7:$C$166,$B32,Selasa!$A$7:$A$166,"&gt;="&amp;DATE(2026,9,21),Selasa!$A$7:$A$166,"&lt;="&amp;DATE(2026,9,27))+SUMIFS(Rabu!$H$7:$H$206,Rabu!$C$7:$C$206,$B32,Rabu!$A$7:$A$206,"&gt;="&amp;DATE(2026,9,21),Rabu!$A$7:$A$206,"&lt;="&amp;DATE(2026,9,27))+SUMIFS(Kamis!$H$7:$H$186,Kamis!$C$7:$C$186,$B32,Kamis!$A$7:$A$186,"&gt;="&amp;DATE(2026,9,21),Kamis!$A$7:$A$186,"&lt;="&amp;DATE(2026,9,27))+SUMIFS(Jumat!$H$7:$H$186,Jumat!$C$7:$C$186,$B32,Jumat!$A$7:$A$186,"&gt;="&amp;DATE(2026,9,21),Jumat!$A$7:$A$186,"&lt;="&amp;DATE(2026,9,27))</f>
        <v>0</v>
      </c>
      <c r="O32" s="45">
        <f>SUMIFS(Senin!$H$7:$H$146,Senin!$C$7:$C$146,$B32,Senin!$A$7:$A$146,"&gt;="&amp;DATE(2026,9,28),Senin!$A$7:$A$146,"&lt;="&amp;DATE(2026,10,4))+SUMIFS(Selasa!$H$7:$H$166,Selasa!$C$7:$C$166,$B32,Selasa!$A$7:$A$166,"&gt;="&amp;DATE(2026,9,28),Selasa!$A$7:$A$166,"&lt;="&amp;DATE(2026,10,4))+SUMIFS(Rabu!$H$7:$H$206,Rabu!$C$7:$C$206,$B32,Rabu!$A$7:$A$206,"&gt;="&amp;DATE(2026,9,28),Rabu!$A$7:$A$206,"&lt;="&amp;DATE(2026,10,4))+SUMIFS(Kamis!$H$7:$H$186,Kamis!$C$7:$C$186,$B32,Kamis!$A$7:$A$186,"&gt;="&amp;DATE(2026,9,28),Kamis!$A$7:$A$186,"&lt;="&amp;DATE(2026,10,4))+SUMIFS(Jumat!$H$7:$H$186,Jumat!$C$7:$C$186,$B32,Jumat!$A$7:$A$186,"&gt;="&amp;DATE(2026,9,28),Jumat!$A$7:$A$186,"&lt;="&amp;DATE(2026,10,4))</f>
        <v>0</v>
      </c>
      <c r="P32" s="45">
        <f>SUMIFS(Senin!$H$7:$H$146,Senin!$C$7:$C$146,$B32,Senin!$A$7:$A$146,"&gt;="&amp;DATE(2026,10,5),Senin!$A$7:$A$146,"&lt;="&amp;DATE(2026,10,11))+SUMIFS(Selasa!$H$7:$H$166,Selasa!$C$7:$C$166,$B32,Selasa!$A$7:$A$166,"&gt;="&amp;DATE(2026,10,5),Selasa!$A$7:$A$166,"&lt;="&amp;DATE(2026,10,11))+SUMIFS(Rabu!$H$7:$H$206,Rabu!$C$7:$C$206,$B32,Rabu!$A$7:$A$206,"&gt;="&amp;DATE(2026,10,5),Rabu!$A$7:$A$206,"&lt;="&amp;DATE(2026,10,11))+SUMIFS(Kamis!$H$7:$H$186,Kamis!$C$7:$C$186,$B32,Kamis!$A$7:$A$186,"&gt;="&amp;DATE(2026,10,5),Kamis!$A$7:$A$186,"&lt;="&amp;DATE(2026,10,11))+SUMIFS(Jumat!$H$7:$H$186,Jumat!$C$7:$C$186,$B32,Jumat!$A$7:$A$186,"&gt;="&amp;DATE(2026,10,5),Jumat!$A$7:$A$186,"&lt;="&amp;DATE(2026,10,11))</f>
        <v>0</v>
      </c>
      <c r="Q32" s="45">
        <f>SUMIFS(Senin!$H$7:$H$146,Senin!$C$7:$C$146,$B32,Senin!$A$7:$A$146,"&gt;="&amp;DATE(2026,10,12),Senin!$A$7:$A$146,"&lt;="&amp;DATE(2026,10,18))+SUMIFS(Selasa!$H$7:$H$166,Selasa!$C$7:$C$166,$B32,Selasa!$A$7:$A$166,"&gt;="&amp;DATE(2026,10,12),Selasa!$A$7:$A$166,"&lt;="&amp;DATE(2026,10,18))+SUMIFS(Rabu!$H$7:$H$206,Rabu!$C$7:$C$206,$B32,Rabu!$A$7:$A$206,"&gt;="&amp;DATE(2026,10,12),Rabu!$A$7:$A$206,"&lt;="&amp;DATE(2026,10,18))+SUMIFS(Kamis!$H$7:$H$186,Kamis!$C$7:$C$186,$B32,Kamis!$A$7:$A$186,"&gt;="&amp;DATE(2026,10,12),Kamis!$A$7:$A$186,"&lt;="&amp;DATE(2026,10,18))+SUMIFS(Jumat!$H$7:$H$186,Jumat!$C$7:$C$186,$B32,Jumat!$A$7:$A$186,"&gt;="&amp;DATE(2026,10,12),Jumat!$A$7:$A$186,"&lt;="&amp;DATE(2026,10,18))</f>
        <v>0</v>
      </c>
      <c r="R32" s="45">
        <f>SUMIFS(Senin!$H$7:$H$146,Senin!$C$7:$C$146,$B32,Senin!$A$7:$A$146,"&gt;="&amp;DATE(2026,10,19),Senin!$A$7:$A$146,"&lt;="&amp;DATE(2026,10,25))+SUMIFS(Selasa!$H$7:$H$166,Selasa!$C$7:$C$166,$B32,Selasa!$A$7:$A$166,"&gt;="&amp;DATE(2026,10,19),Selasa!$A$7:$A$166,"&lt;="&amp;DATE(2026,10,25))+SUMIFS(Rabu!$H$7:$H$206,Rabu!$C$7:$C$206,$B32,Rabu!$A$7:$A$206,"&gt;="&amp;DATE(2026,10,19),Rabu!$A$7:$A$206,"&lt;="&amp;DATE(2026,10,25))+SUMIFS(Kamis!$H$7:$H$186,Kamis!$C$7:$C$186,$B32,Kamis!$A$7:$A$186,"&gt;="&amp;DATE(2026,10,19),Kamis!$A$7:$A$186,"&lt;="&amp;DATE(2026,10,25))+SUMIFS(Jumat!$H$7:$H$186,Jumat!$C$7:$C$186,$B32,Jumat!$A$7:$A$186,"&gt;="&amp;DATE(2026,10,19),Jumat!$A$7:$A$186,"&lt;="&amp;DATE(2026,10,25))</f>
        <v>0</v>
      </c>
      <c r="S32" s="45">
        <f>SUMIFS(Senin!$H$7:$H$146,Senin!$C$7:$C$146,$B32,Senin!$A$7:$A$146,"&gt;="&amp;DATE(2026,10,26),Senin!$A$7:$A$146,"&lt;="&amp;DATE(2026,11,1))+SUMIFS(Selasa!$H$7:$H$166,Selasa!$C$7:$C$166,$B32,Selasa!$A$7:$A$166,"&gt;="&amp;DATE(2026,10,26),Selasa!$A$7:$A$166,"&lt;="&amp;DATE(2026,11,1))+SUMIFS(Rabu!$H$7:$H$206,Rabu!$C$7:$C$206,$B32,Rabu!$A$7:$A$206,"&gt;="&amp;DATE(2026,10,26),Rabu!$A$7:$A$206,"&lt;="&amp;DATE(2026,11,1))+SUMIFS(Kamis!$H$7:$H$186,Kamis!$C$7:$C$186,$B32,Kamis!$A$7:$A$186,"&gt;="&amp;DATE(2026,10,26),Kamis!$A$7:$A$186,"&lt;="&amp;DATE(2026,11,1))+SUMIFS(Jumat!$H$7:$H$186,Jumat!$C$7:$C$186,$B32,Jumat!$A$7:$A$186,"&gt;="&amp;DATE(2026,10,26),Jumat!$A$7:$A$186,"&lt;="&amp;DATE(2026,11,1))</f>
        <v>0</v>
      </c>
      <c r="T32" s="45">
        <f>SUMIFS(Senin!$H$7:$H$146,Senin!$C$7:$C$146,$B32,Senin!$A$7:$A$146,"&gt;="&amp;DATE(2026,11,2),Senin!$A$7:$A$146,"&lt;="&amp;DATE(2026,11,8))+SUMIFS(Selasa!$H$7:$H$166,Selasa!$C$7:$C$166,$B32,Selasa!$A$7:$A$166,"&gt;="&amp;DATE(2026,11,2),Selasa!$A$7:$A$166,"&lt;="&amp;DATE(2026,11,8))+SUMIFS(Rabu!$H$7:$H$206,Rabu!$C$7:$C$206,$B32,Rabu!$A$7:$A$206,"&gt;="&amp;DATE(2026,11,2),Rabu!$A$7:$A$206,"&lt;="&amp;DATE(2026,11,8))+SUMIFS(Kamis!$H$7:$H$186,Kamis!$C$7:$C$186,$B32,Kamis!$A$7:$A$186,"&gt;="&amp;DATE(2026,11,2),Kamis!$A$7:$A$186,"&lt;="&amp;DATE(2026,11,8))+SUMIFS(Jumat!$H$7:$H$186,Jumat!$C$7:$C$186,$B32,Jumat!$A$7:$A$186,"&gt;="&amp;DATE(2026,11,2),Jumat!$A$7:$A$186,"&lt;="&amp;DATE(2026,11,8))</f>
        <v>0</v>
      </c>
      <c r="U32" s="45">
        <f>SUMIFS(Senin!$H$7:$H$146,Senin!$C$7:$C$146,$B32,Senin!$A$7:$A$146,"&gt;="&amp;DATE(2026,11,9),Senin!$A$7:$A$146,"&lt;="&amp;DATE(2026,11,15))+SUMIFS(Selasa!$H$7:$H$166,Selasa!$C$7:$C$166,$B32,Selasa!$A$7:$A$166,"&gt;="&amp;DATE(2026,11,9),Selasa!$A$7:$A$166,"&lt;="&amp;DATE(2026,11,15))+SUMIFS(Rabu!$H$7:$H$206,Rabu!$C$7:$C$206,$B32,Rabu!$A$7:$A$206,"&gt;="&amp;DATE(2026,11,9),Rabu!$A$7:$A$206,"&lt;="&amp;DATE(2026,11,15))+SUMIFS(Kamis!$H$7:$H$186,Kamis!$C$7:$C$186,$B32,Kamis!$A$7:$A$186,"&gt;="&amp;DATE(2026,11,9),Kamis!$A$7:$A$186,"&lt;="&amp;DATE(2026,11,15))+SUMIFS(Jumat!$H$7:$H$186,Jumat!$C$7:$C$186,$B32,Jumat!$A$7:$A$186,"&gt;="&amp;DATE(2026,11,9),Jumat!$A$7:$A$186,"&lt;="&amp;DATE(2026,11,15))</f>
        <v>0</v>
      </c>
      <c r="V32" s="45">
        <f>SUMIFS(Senin!$H$7:$H$146,Senin!$C$7:$C$146,$B32,Senin!$A$7:$A$146,"&gt;="&amp;DATE(2026,11,16),Senin!$A$7:$A$146,"&lt;="&amp;DATE(2026,11,22))+SUMIFS(Selasa!$H$7:$H$166,Selasa!$C$7:$C$166,$B32,Selasa!$A$7:$A$166,"&gt;="&amp;DATE(2026,11,16),Selasa!$A$7:$A$166,"&lt;="&amp;DATE(2026,11,22))+SUMIFS(Rabu!$H$7:$H$206,Rabu!$C$7:$C$206,$B32,Rabu!$A$7:$A$206,"&gt;="&amp;DATE(2026,11,16),Rabu!$A$7:$A$206,"&lt;="&amp;DATE(2026,11,22))+SUMIFS(Kamis!$H$7:$H$186,Kamis!$C$7:$C$186,$B32,Kamis!$A$7:$A$186,"&gt;="&amp;DATE(2026,11,16),Kamis!$A$7:$A$186,"&lt;="&amp;DATE(2026,11,22))+SUMIFS(Jumat!$H$7:$H$186,Jumat!$C$7:$C$186,$B32,Jumat!$A$7:$A$186,"&gt;="&amp;DATE(2026,11,16),Jumat!$A$7:$A$186,"&lt;="&amp;DATE(2026,11,22))</f>
        <v>0</v>
      </c>
      <c r="W32" s="45">
        <f>SUMIFS(Senin!$H$7:$H$146,Senin!$C$7:$C$146,$B32,Senin!$A$7:$A$146,"&gt;="&amp;DATE(2026,11,23),Senin!$A$7:$A$146,"&lt;="&amp;DATE(2026,11,29))+SUMIFS(Selasa!$H$7:$H$166,Selasa!$C$7:$C$166,$B32,Selasa!$A$7:$A$166,"&gt;="&amp;DATE(2026,11,23),Selasa!$A$7:$A$166,"&lt;="&amp;DATE(2026,11,29))+SUMIFS(Rabu!$H$7:$H$206,Rabu!$C$7:$C$206,$B32,Rabu!$A$7:$A$206,"&gt;="&amp;DATE(2026,11,23),Rabu!$A$7:$A$206,"&lt;="&amp;DATE(2026,11,29))+SUMIFS(Kamis!$H$7:$H$186,Kamis!$C$7:$C$186,$B32,Kamis!$A$7:$A$186,"&gt;="&amp;DATE(2026,11,23),Kamis!$A$7:$A$186,"&lt;="&amp;DATE(2026,11,29))+SUMIFS(Jumat!$H$7:$H$186,Jumat!$C$7:$C$186,$B32,Jumat!$A$7:$A$186,"&gt;="&amp;DATE(2026,11,23),Jumat!$A$7:$A$186,"&lt;="&amp;DATE(2026,11,29))</f>
        <v>0</v>
      </c>
      <c r="X32" s="45">
        <f>SUMIFS(Senin!$H$7:$H$146,Senin!$C$7:$C$146,$B32,Senin!$A$7:$A$146,"&gt;="&amp;DATE(2026,11,30),Senin!$A$7:$A$146,"&lt;="&amp;DATE(2026,12,6))+SUMIFS(Selasa!$H$7:$H$166,Selasa!$C$7:$C$166,$B32,Selasa!$A$7:$A$166,"&gt;="&amp;DATE(2026,11,30),Selasa!$A$7:$A$166,"&lt;="&amp;DATE(2026,12,6))+SUMIFS(Rabu!$H$7:$H$206,Rabu!$C$7:$C$206,$B32,Rabu!$A$7:$A$206,"&gt;="&amp;DATE(2026,11,30),Rabu!$A$7:$A$206,"&lt;="&amp;DATE(2026,12,6))+SUMIFS(Kamis!$H$7:$H$186,Kamis!$C$7:$C$186,$B32,Kamis!$A$7:$A$186,"&gt;="&amp;DATE(2026,11,30),Kamis!$A$7:$A$186,"&lt;="&amp;DATE(2026,12,6))+SUMIFS(Jumat!$H$7:$H$186,Jumat!$C$7:$C$186,$B32,Jumat!$A$7:$A$186,"&gt;="&amp;DATE(2026,11,30),Jumat!$A$7:$A$186,"&lt;="&amp;DATE(2026,12,6))</f>
        <v>0</v>
      </c>
      <c r="Y32" s="45">
        <f>SUMIFS(Senin!$H$7:$H$146,Senin!$C$7:$C$146,$B32,Senin!$A$7:$A$146,"&gt;="&amp;DATE(2026,12,7),Senin!$A$7:$A$146,"&lt;="&amp;DATE(2026,12,13))+SUMIFS(Selasa!$H$7:$H$166,Selasa!$C$7:$C$166,$B32,Selasa!$A$7:$A$166,"&gt;="&amp;DATE(2026,12,7),Selasa!$A$7:$A$166,"&lt;="&amp;DATE(2026,12,13))+SUMIFS(Rabu!$H$7:$H$206,Rabu!$C$7:$C$206,$B32,Rabu!$A$7:$A$206,"&gt;="&amp;DATE(2026,12,7),Rabu!$A$7:$A$206,"&lt;="&amp;DATE(2026,12,13))+SUMIFS(Kamis!$H$7:$H$186,Kamis!$C$7:$C$186,$B32,Kamis!$A$7:$A$186,"&gt;="&amp;DATE(2026,12,7),Kamis!$A$7:$A$186,"&lt;="&amp;DATE(2026,12,13))+SUMIFS(Jumat!$H$7:$H$186,Jumat!$C$7:$C$186,$B32,Jumat!$A$7:$A$186,"&gt;="&amp;DATE(2026,12,7),Jumat!$A$7:$A$186,"&lt;="&amp;DATE(2026,12,13))</f>
        <v>0</v>
      </c>
      <c r="Z32" s="45">
        <f>SUMIFS(Senin!$H$7:$H$146,Senin!$C$7:$C$146,$B32,Senin!$A$7:$A$146,"&gt;="&amp;DATE(2026,12,14),Senin!$A$7:$A$146,"&lt;="&amp;DATE(2026,12,20))+SUMIFS(Selasa!$H$7:$H$166,Selasa!$C$7:$C$166,$B32,Selasa!$A$7:$A$166,"&gt;="&amp;DATE(2026,12,14),Selasa!$A$7:$A$166,"&lt;="&amp;DATE(2026,12,20))+SUMIFS(Rabu!$H$7:$H$206,Rabu!$C$7:$C$206,$B32,Rabu!$A$7:$A$206,"&gt;="&amp;DATE(2026,12,14),Rabu!$A$7:$A$206,"&lt;="&amp;DATE(2026,12,20))+SUMIFS(Kamis!$H$7:$H$186,Kamis!$C$7:$C$186,$B32,Kamis!$A$7:$A$186,"&gt;="&amp;DATE(2026,12,14),Kamis!$A$7:$A$186,"&lt;="&amp;DATE(2026,12,20))+SUMIFS(Jumat!$H$7:$H$186,Jumat!$C$7:$C$186,$B32,Jumat!$A$7:$A$186,"&gt;="&amp;DATE(2026,12,14),Jumat!$A$7:$A$186,"&lt;="&amp;DATE(2026,12,20))</f>
        <v>0</v>
      </c>
      <c r="AA32" s="45">
        <f>SUMIFS(Senin!$H$7:$H$146,Senin!$C$7:$C$146,$B32,Senin!$A$7:$A$146,"&gt;="&amp;DATE(2026,12,21),Senin!$A$7:$A$146,"&lt;="&amp;DATE(2026,12,27))+SUMIFS(Selasa!$H$7:$H$166,Selasa!$C$7:$C$166,$B32,Selasa!$A$7:$A$166,"&gt;="&amp;DATE(2026,12,21),Selasa!$A$7:$A$166,"&lt;="&amp;DATE(2026,12,27))+SUMIFS(Rabu!$H$7:$H$206,Rabu!$C$7:$C$206,$B32,Rabu!$A$7:$A$206,"&gt;="&amp;DATE(2026,12,21),Rabu!$A$7:$A$206,"&lt;="&amp;DATE(2026,12,27))+SUMIFS(Kamis!$H$7:$H$186,Kamis!$C$7:$C$186,$B32,Kamis!$A$7:$A$186,"&gt;="&amp;DATE(2026,12,21),Kamis!$A$7:$A$186,"&lt;="&amp;DATE(2026,12,27))+SUMIFS(Jumat!$H$7:$H$186,Jumat!$C$7:$C$186,$B32,Jumat!$A$7:$A$186,"&gt;="&amp;DATE(2026,12,21),Jumat!$A$7:$A$186,"&lt;="&amp;DATE(2026,12,27))</f>
        <v>0</v>
      </c>
      <c r="AB32" s="45">
        <f>SUMIFS(Senin!$H$7:$H$146,Senin!$C$7:$C$146,$B32,Senin!$A$7:$A$146,"&gt;="&amp;DATE(2026,12,28),Senin!$A$7:$A$146,"&lt;="&amp;DATE(2027,1,3))+SUMIFS(Selasa!$H$7:$H$166,Selasa!$C$7:$C$166,$B32,Selasa!$A$7:$A$166,"&gt;="&amp;DATE(2026,12,28),Selasa!$A$7:$A$166,"&lt;="&amp;DATE(2027,1,3))+SUMIFS(Rabu!$H$7:$H$206,Rabu!$C$7:$C$206,$B32,Rabu!$A$7:$A$206,"&gt;="&amp;DATE(2026,12,28),Rabu!$A$7:$A$206,"&lt;="&amp;DATE(2027,1,3))+SUMIFS(Kamis!$H$7:$H$186,Kamis!$C$7:$C$186,$B32,Kamis!$A$7:$A$186,"&gt;="&amp;DATE(2026,12,28),Kamis!$A$7:$A$186,"&lt;="&amp;DATE(2027,1,3))+SUMIFS(Jumat!$H$7:$H$186,Jumat!$C$7:$C$186,$B32,Jumat!$A$7:$A$186,"&gt;="&amp;DATE(2026,12,28),Jumat!$A$7:$A$186,"&lt;="&amp;DATE(2027,1,3))</f>
        <v>0</v>
      </c>
      <c r="AC32" s="45">
        <f>SUMIFS(Senin!$H$7:$H$146,Senin!$C$7:$C$146,$B32,Senin!$A$7:$A$146,"&gt;="&amp;DATE(2027,1,4),Senin!$A$7:$A$146,"&lt;="&amp;DATE(2027,1,10))+SUMIFS(Selasa!$H$7:$H$166,Selasa!$C$7:$C$166,$B32,Selasa!$A$7:$A$166,"&gt;="&amp;DATE(2027,1,4),Selasa!$A$7:$A$166,"&lt;="&amp;DATE(2027,1,10))+SUMIFS(Rabu!$H$7:$H$206,Rabu!$C$7:$C$206,$B32,Rabu!$A$7:$A$206,"&gt;="&amp;DATE(2027,1,4),Rabu!$A$7:$A$206,"&lt;="&amp;DATE(2027,1,10))+SUMIFS(Kamis!$H$7:$H$186,Kamis!$C$7:$C$186,$B32,Kamis!$A$7:$A$186,"&gt;="&amp;DATE(2027,1,4),Kamis!$A$7:$A$186,"&lt;="&amp;DATE(2027,1,10))+SUMIFS(Jumat!$H$7:$H$186,Jumat!$C$7:$C$186,$B32,Jumat!$A$7:$A$186,"&gt;="&amp;DATE(2027,1,4),Jumat!$A$7:$A$186,"&lt;="&amp;DATE(2027,1,10))</f>
        <v>0</v>
      </c>
      <c r="AD32" s="45">
        <f>SUMIFS(Senin!$H$7:$H$146,Senin!$C$7:$C$146,$B32,Senin!$A$7:$A$146,"&gt;="&amp;DATE(2027,1,11),Senin!$A$7:$A$146,"&lt;="&amp;DATE(2027,1,17))+SUMIFS(Selasa!$H$7:$H$166,Selasa!$C$7:$C$166,$B32,Selasa!$A$7:$A$166,"&gt;="&amp;DATE(2027,1,11),Selasa!$A$7:$A$166,"&lt;="&amp;DATE(2027,1,17))+SUMIFS(Rabu!$H$7:$H$206,Rabu!$C$7:$C$206,$B32,Rabu!$A$7:$A$206,"&gt;="&amp;DATE(2027,1,11),Rabu!$A$7:$A$206,"&lt;="&amp;DATE(2027,1,17))+SUMIFS(Kamis!$H$7:$H$186,Kamis!$C$7:$C$186,$B32,Kamis!$A$7:$A$186,"&gt;="&amp;DATE(2027,1,11),Kamis!$A$7:$A$186,"&lt;="&amp;DATE(2027,1,17))+SUMIFS(Jumat!$H$7:$H$186,Jumat!$C$7:$C$186,$B32,Jumat!$A$7:$A$186,"&gt;="&amp;DATE(2027,1,11),Jumat!$A$7:$A$186,"&lt;="&amp;DATE(2027,1,17))</f>
        <v>0</v>
      </c>
    </row>
    <row r="33" ht="15.75" customHeight="1">
      <c r="A33" s="27">
        <v>30.0</v>
      </c>
      <c r="B33" s="61" t="s">
        <v>28</v>
      </c>
      <c r="C33" s="41">
        <f>COUNTIFS(Senin!$C$7:$C$146,$B33,Senin!$G$7:$G$146,"Ya",Senin!$E$7:$E$146,"&lt;&gt;")+COUNTIFS(Selasa!$C$7:$C$166,$B33,Selasa!$G$7:$G$166,"Ya",Selasa!$E$7:$E$166,"&lt;&gt;")+COUNTIFS(Rabu!$C$7:$C$206,$B33,Rabu!$G$7:$G$206,"Ya",Rabu!$E$7:$E$206,"&lt;&gt;")+COUNTIFS(Kamis!$C$7:$C$186,$B33,Kamis!$G$7:$G$186,"Ya",Kamis!$E$7:$E$186,"&lt;&gt;")+COUNTIFS(Jumat!$C$7:$C$186,$B33,Jumat!$G$7:$G$186,"Ya",Jumat!$E$7:$E$186,"&lt;&gt;")</f>
        <v>1</v>
      </c>
      <c r="D33" s="41">
        <f>COUNTIFS(Senin!$C$7:$C$146,$B33,Senin!$G$7:$G$146,"Ya",Senin!$E$7:$E$146,"")+COUNTIFS(Selasa!$C$7:$C$166,$B33,Selasa!$G$7:$G$166,"Ya",Selasa!$E$7:$E$166,"")+COUNTIFS(Rabu!$C$7:$C$206,$B33,Rabu!$G$7:$G$206,"Ya",Rabu!$E$7:$E$206,"")+COUNTIFS(Kamis!$C$7:$C$186,$B33,Kamis!$G$7:$G$186,"Ya",Kamis!$E$7:$E$186,"")+COUNTIFS(Jumat!$C$7:$C$186,$B33,Jumat!$G$7:$G$186,"Ya",Jumat!$E$7:$E$186,"")</f>
        <v>0</v>
      </c>
      <c r="E33" s="45">
        <f>SUMIFS(Senin!$H$7:$H$146,Senin!$C$7:$C$146,$B33,Senin!$A$7:$A$146,"&gt;="&amp;DATE(2026,8,1),Senin!$A$7:$A$146,"&lt;="&amp;DATE(2026,12,31))+SUMIFS(Selasa!$H$7:$H$166,Selasa!$C$7:$C$166,$B33,Selasa!$A$7:$A$166,"&gt;="&amp;DATE(2026,8,1),Selasa!$A$7:$A$166,"&lt;="&amp;DATE(2026,12,31))+SUMIFS(Rabu!$H$7:$H$206,Rabu!$C$7:$C$206,$B33,Rabu!$A$7:$A$206,"&gt;="&amp;DATE(2026,8,1),Rabu!$A$7:$A$206,"&lt;="&amp;DATE(2026,12,31))+SUMIFS(Kamis!$H$7:$H$186,Kamis!$C$7:$C$186,$B33,Kamis!$A$7:$A$186,"&gt;="&amp;DATE(2026,8,1),Kamis!$A$7:$A$186,"&lt;="&amp;DATE(2026,12,31))+SUMIFS(Jumat!$H$7:$H$186,Jumat!$C$7:$C$186,$B33,Jumat!$A$7:$A$186,"&gt;="&amp;DATE(2026,8,1),Jumat!$A$7:$A$186,"&lt;="&amp;DATE(2026,12,31))</f>
        <v>5000</v>
      </c>
      <c r="F33" s="45">
        <f>SUMIFS(Senin!$H$7:$H$146,Senin!$C$7:$C$146,$B33,Senin!$A$7:$A$146,"&gt;="&amp;DATE(2026,8,1),Senin!$A$7:$A$146,"&lt;="&amp;DATE(2026,8,31))+SUMIFS(Selasa!$H$7:$H$166,Selasa!$C$7:$C$166,$B33,Selasa!$A$7:$A$166,"&gt;="&amp;DATE(2026,8,1),Selasa!$A$7:$A$166,"&lt;="&amp;DATE(2026,8,31))+SUMIFS(Rabu!$H$7:$H$206,Rabu!$C$7:$C$206,$B33,Rabu!$A$7:$A$206,"&gt;="&amp;DATE(2026,8,1),Rabu!$A$7:$A$206,"&lt;="&amp;DATE(2026,8,31))+SUMIFS(Kamis!$H$7:$H$186,Kamis!$C$7:$C$186,$B33,Kamis!$A$7:$A$186,"&gt;="&amp;DATE(2026,8,1),Kamis!$A$7:$A$186,"&lt;="&amp;DATE(2026,8,31))+SUMIFS(Jumat!$H$7:$H$186,Jumat!$C$7:$C$186,$B33,Jumat!$A$7:$A$186,"&gt;="&amp;DATE(2026,8,1),Jumat!$A$7:$A$186,"&lt;="&amp;DATE(2026,8,31))</f>
        <v>0</v>
      </c>
      <c r="G33" s="45">
        <f>SUMIFS(Senin!$H$7:$H$146,Senin!$C$7:$C$146,$B33,Senin!$A$7:$A$146,"&gt;="&amp;DATE(2026,9,1),Senin!$A$7:$A$146,"&lt;="&amp;DATE(2026,9,30))+SUMIFS(Selasa!$H$7:$H$166,Selasa!$C$7:$C$166,$B33,Selasa!$A$7:$A$166,"&gt;="&amp;DATE(2026,9,1),Selasa!$A$7:$A$166,"&lt;="&amp;DATE(2026,9,30))+SUMIFS(Rabu!$H$7:$H$206,Rabu!$C$7:$C$206,$B33,Rabu!$A$7:$A$206,"&gt;="&amp;DATE(2026,9,1),Rabu!$A$7:$A$206,"&lt;="&amp;DATE(2026,9,30))+SUMIFS(Kamis!$H$7:$H$186,Kamis!$C$7:$C$186,$B33,Kamis!$A$7:$A$186,"&gt;="&amp;DATE(2026,9,1),Kamis!$A$7:$A$186,"&lt;="&amp;DATE(2026,9,30))+SUMIFS(Jumat!$H$7:$H$186,Jumat!$C$7:$C$186,$B33,Jumat!$A$7:$A$186,"&gt;="&amp;DATE(2026,9,1),Jumat!$A$7:$A$186,"&lt;="&amp;DATE(2026,9,30))</f>
        <v>5000</v>
      </c>
      <c r="H33" s="45">
        <f>SUMIFS(Senin!$H$7:$H$146,Senin!$C$7:$C$146,$B33,Senin!$A$7:$A$146,"&gt;="&amp;DATE(2026,10,1),Senin!$A$7:$A$146,"&lt;="&amp;DATE(2026,10,31))+SUMIFS(Selasa!$H$7:$H$166,Selasa!$C$7:$C$166,$B33,Selasa!$A$7:$A$166,"&gt;="&amp;DATE(2026,10,1),Selasa!$A$7:$A$166,"&lt;="&amp;DATE(2026,10,31))+SUMIFS(Rabu!$H$7:$H$206,Rabu!$C$7:$C$206,$B33,Rabu!$A$7:$A$206,"&gt;="&amp;DATE(2026,10,1),Rabu!$A$7:$A$206,"&lt;="&amp;DATE(2026,10,31))+SUMIFS(Kamis!$H$7:$H$186,Kamis!$C$7:$C$186,$B33,Kamis!$A$7:$A$186,"&gt;="&amp;DATE(2026,10,1),Kamis!$A$7:$A$186,"&lt;="&amp;DATE(2026,10,31))+SUMIFS(Jumat!$H$7:$H$186,Jumat!$C$7:$C$186,$B33,Jumat!$A$7:$A$186,"&gt;="&amp;DATE(2026,10,1),Jumat!$A$7:$A$186,"&lt;="&amp;DATE(2026,10,31))</f>
        <v>0</v>
      </c>
      <c r="I33" s="45">
        <f>SUMIFS(Senin!$H$7:$H$146,Senin!$C$7:$C$146,$B33,Senin!$A$7:$A$146,"&gt;="&amp;DATE(2026,11,1),Senin!$A$7:$A$146,"&lt;="&amp;DATE(2026,11,30))+SUMIFS(Selasa!$H$7:$H$166,Selasa!$C$7:$C$166,$B33,Selasa!$A$7:$A$166,"&gt;="&amp;DATE(2026,11,1),Selasa!$A$7:$A$166,"&lt;="&amp;DATE(2026,11,30))+SUMIFS(Rabu!$H$7:$H$206,Rabu!$C$7:$C$206,$B33,Rabu!$A$7:$A$206,"&gt;="&amp;DATE(2026,11,1),Rabu!$A$7:$A$206,"&lt;="&amp;DATE(2026,11,30))+SUMIFS(Kamis!$H$7:$H$186,Kamis!$C$7:$C$186,$B33,Kamis!$A$7:$A$186,"&gt;="&amp;DATE(2026,11,1),Kamis!$A$7:$A$186,"&lt;="&amp;DATE(2026,11,30))+SUMIFS(Jumat!$H$7:$H$186,Jumat!$C$7:$C$186,$B33,Jumat!$A$7:$A$186,"&gt;="&amp;DATE(2026,11,1),Jumat!$A$7:$A$186,"&lt;="&amp;DATE(2026,11,30))</f>
        <v>0</v>
      </c>
      <c r="J33" s="45">
        <f>SUMIFS(Senin!$H$7:$H$146,Senin!$C$7:$C$146,$B33,Senin!$A$7:$A$146,"&gt;="&amp;DATE(2026,12,1),Senin!$A$7:$A$146,"&lt;="&amp;DATE(2026,12,31))+SUMIFS(Selasa!$H$7:$H$166,Selasa!$C$7:$C$166,$B33,Selasa!$A$7:$A$166,"&gt;="&amp;DATE(2026,12,1),Selasa!$A$7:$A$166,"&lt;="&amp;DATE(2026,12,31))+SUMIFS(Rabu!$H$7:$H$206,Rabu!$C$7:$C$206,$B33,Rabu!$A$7:$A$206,"&gt;="&amp;DATE(2026,12,1),Rabu!$A$7:$A$206,"&lt;="&amp;DATE(2026,12,31))+SUMIFS(Kamis!$H$7:$H$186,Kamis!$C$7:$C$186,$B33,Kamis!$A$7:$A$186,"&gt;="&amp;DATE(2026,12,1),Kamis!$A$7:$A$186,"&lt;="&amp;DATE(2026,12,31))+SUMIFS(Jumat!$H$7:$H$186,Jumat!$C$7:$C$186,$B33,Jumat!$A$7:$A$186,"&gt;="&amp;DATE(2026,12,1),Jumat!$A$7:$A$186,"&lt;="&amp;DATE(2026,12,31))</f>
        <v>0</v>
      </c>
      <c r="K33" s="45">
        <f>SUMIFS(Senin!$H$7:$H$146,Senin!$C$7:$C$146,$B33,Senin!$A$7:$A$146,"&gt;="&amp;DATE(2026,8,31),Senin!$A$7:$A$146,"&lt;="&amp;DATE(2026,9,6))+SUMIFS(Selasa!$H$7:$H$166,Selasa!$C$7:$C$166,$B33,Selasa!$A$7:$A$166,"&gt;="&amp;DATE(2026,8,31),Selasa!$A$7:$A$166,"&lt;="&amp;DATE(2026,9,6))+SUMIFS(Rabu!$H$7:$H$206,Rabu!$C$7:$C$206,$B33,Rabu!$A$7:$A$206,"&gt;="&amp;DATE(2026,8,31),Rabu!$A$7:$A$206,"&lt;="&amp;DATE(2026,9,6))+SUMIFS(Kamis!$H$7:$H$186,Kamis!$C$7:$C$186,$B33,Kamis!$A$7:$A$186,"&gt;="&amp;DATE(2026,8,31),Kamis!$A$7:$A$186,"&lt;="&amp;DATE(2026,9,6))+SUMIFS(Jumat!$H$7:$H$186,Jumat!$C$7:$C$186,$B33,Jumat!$A$7:$A$186,"&gt;="&amp;DATE(2026,8,31),Jumat!$A$7:$A$186,"&lt;="&amp;DATE(2026,9,6))</f>
        <v>5000</v>
      </c>
      <c r="L33" s="45">
        <f>SUMIFS(Senin!$H$7:$H$146,Senin!$C$7:$C$146,$B33,Senin!$A$7:$A$146,"&gt;="&amp;DATE(2026,9,7),Senin!$A$7:$A$146,"&lt;="&amp;DATE(2026,9,13))+SUMIFS(Selasa!$H$7:$H$166,Selasa!$C$7:$C$166,$B33,Selasa!$A$7:$A$166,"&gt;="&amp;DATE(2026,9,7),Selasa!$A$7:$A$166,"&lt;="&amp;DATE(2026,9,13))+SUMIFS(Rabu!$H$7:$H$206,Rabu!$C$7:$C$206,$B33,Rabu!$A$7:$A$206,"&gt;="&amp;DATE(2026,9,7),Rabu!$A$7:$A$206,"&lt;="&amp;DATE(2026,9,13))+SUMIFS(Kamis!$H$7:$H$186,Kamis!$C$7:$C$186,$B33,Kamis!$A$7:$A$186,"&gt;="&amp;DATE(2026,9,7),Kamis!$A$7:$A$186,"&lt;="&amp;DATE(2026,9,13))+SUMIFS(Jumat!$H$7:$H$186,Jumat!$C$7:$C$186,$B33,Jumat!$A$7:$A$186,"&gt;="&amp;DATE(2026,9,7),Jumat!$A$7:$A$186,"&lt;="&amp;DATE(2026,9,13))</f>
        <v>0</v>
      </c>
      <c r="M33" s="45">
        <f>SUMIFS(Senin!$H$7:$H$146,Senin!$C$7:$C$146,$B33,Senin!$A$7:$A$146,"&gt;="&amp;DATE(2026,9,14),Senin!$A$7:$A$146,"&lt;="&amp;DATE(2026,9,20))+SUMIFS(Selasa!$H$7:$H$166,Selasa!$C$7:$C$166,$B33,Selasa!$A$7:$A$166,"&gt;="&amp;DATE(2026,9,14),Selasa!$A$7:$A$166,"&lt;="&amp;DATE(2026,9,20))+SUMIFS(Rabu!$H$7:$H$206,Rabu!$C$7:$C$206,$B33,Rabu!$A$7:$A$206,"&gt;="&amp;DATE(2026,9,14),Rabu!$A$7:$A$206,"&lt;="&amp;DATE(2026,9,20))+SUMIFS(Kamis!$H$7:$H$186,Kamis!$C$7:$C$186,$B33,Kamis!$A$7:$A$186,"&gt;="&amp;DATE(2026,9,14),Kamis!$A$7:$A$186,"&lt;="&amp;DATE(2026,9,20))+SUMIFS(Jumat!$H$7:$H$186,Jumat!$C$7:$C$186,$B33,Jumat!$A$7:$A$186,"&gt;="&amp;DATE(2026,9,14),Jumat!$A$7:$A$186,"&lt;="&amp;DATE(2026,9,20))</f>
        <v>0</v>
      </c>
      <c r="N33" s="45">
        <f>SUMIFS(Senin!$H$7:$H$146,Senin!$C$7:$C$146,$B33,Senin!$A$7:$A$146,"&gt;="&amp;DATE(2026,9,21),Senin!$A$7:$A$146,"&lt;="&amp;DATE(2026,9,27))+SUMIFS(Selasa!$H$7:$H$166,Selasa!$C$7:$C$166,$B33,Selasa!$A$7:$A$166,"&gt;="&amp;DATE(2026,9,21),Selasa!$A$7:$A$166,"&lt;="&amp;DATE(2026,9,27))+SUMIFS(Rabu!$H$7:$H$206,Rabu!$C$7:$C$206,$B33,Rabu!$A$7:$A$206,"&gt;="&amp;DATE(2026,9,21),Rabu!$A$7:$A$206,"&lt;="&amp;DATE(2026,9,27))+SUMIFS(Kamis!$H$7:$H$186,Kamis!$C$7:$C$186,$B33,Kamis!$A$7:$A$186,"&gt;="&amp;DATE(2026,9,21),Kamis!$A$7:$A$186,"&lt;="&amp;DATE(2026,9,27))+SUMIFS(Jumat!$H$7:$H$186,Jumat!$C$7:$C$186,$B33,Jumat!$A$7:$A$186,"&gt;="&amp;DATE(2026,9,21),Jumat!$A$7:$A$186,"&lt;="&amp;DATE(2026,9,27))</f>
        <v>0</v>
      </c>
      <c r="O33" s="45">
        <f>SUMIFS(Senin!$H$7:$H$146,Senin!$C$7:$C$146,$B33,Senin!$A$7:$A$146,"&gt;="&amp;DATE(2026,9,28),Senin!$A$7:$A$146,"&lt;="&amp;DATE(2026,10,4))+SUMIFS(Selasa!$H$7:$H$166,Selasa!$C$7:$C$166,$B33,Selasa!$A$7:$A$166,"&gt;="&amp;DATE(2026,9,28),Selasa!$A$7:$A$166,"&lt;="&amp;DATE(2026,10,4))+SUMIFS(Rabu!$H$7:$H$206,Rabu!$C$7:$C$206,$B33,Rabu!$A$7:$A$206,"&gt;="&amp;DATE(2026,9,28),Rabu!$A$7:$A$206,"&lt;="&amp;DATE(2026,10,4))+SUMIFS(Kamis!$H$7:$H$186,Kamis!$C$7:$C$186,$B33,Kamis!$A$7:$A$186,"&gt;="&amp;DATE(2026,9,28),Kamis!$A$7:$A$186,"&lt;="&amp;DATE(2026,10,4))+SUMIFS(Jumat!$H$7:$H$186,Jumat!$C$7:$C$186,$B33,Jumat!$A$7:$A$186,"&gt;="&amp;DATE(2026,9,28),Jumat!$A$7:$A$186,"&lt;="&amp;DATE(2026,10,4))</f>
        <v>0</v>
      </c>
      <c r="P33" s="45">
        <f>SUMIFS(Senin!$H$7:$H$146,Senin!$C$7:$C$146,$B33,Senin!$A$7:$A$146,"&gt;="&amp;DATE(2026,10,5),Senin!$A$7:$A$146,"&lt;="&amp;DATE(2026,10,11))+SUMIFS(Selasa!$H$7:$H$166,Selasa!$C$7:$C$166,$B33,Selasa!$A$7:$A$166,"&gt;="&amp;DATE(2026,10,5),Selasa!$A$7:$A$166,"&lt;="&amp;DATE(2026,10,11))+SUMIFS(Rabu!$H$7:$H$206,Rabu!$C$7:$C$206,$B33,Rabu!$A$7:$A$206,"&gt;="&amp;DATE(2026,10,5),Rabu!$A$7:$A$206,"&lt;="&amp;DATE(2026,10,11))+SUMIFS(Kamis!$H$7:$H$186,Kamis!$C$7:$C$186,$B33,Kamis!$A$7:$A$186,"&gt;="&amp;DATE(2026,10,5),Kamis!$A$7:$A$186,"&lt;="&amp;DATE(2026,10,11))+SUMIFS(Jumat!$H$7:$H$186,Jumat!$C$7:$C$186,$B33,Jumat!$A$7:$A$186,"&gt;="&amp;DATE(2026,10,5),Jumat!$A$7:$A$186,"&lt;="&amp;DATE(2026,10,11))</f>
        <v>0</v>
      </c>
      <c r="Q33" s="45">
        <f>SUMIFS(Senin!$H$7:$H$146,Senin!$C$7:$C$146,$B33,Senin!$A$7:$A$146,"&gt;="&amp;DATE(2026,10,12),Senin!$A$7:$A$146,"&lt;="&amp;DATE(2026,10,18))+SUMIFS(Selasa!$H$7:$H$166,Selasa!$C$7:$C$166,$B33,Selasa!$A$7:$A$166,"&gt;="&amp;DATE(2026,10,12),Selasa!$A$7:$A$166,"&lt;="&amp;DATE(2026,10,18))+SUMIFS(Rabu!$H$7:$H$206,Rabu!$C$7:$C$206,$B33,Rabu!$A$7:$A$206,"&gt;="&amp;DATE(2026,10,12),Rabu!$A$7:$A$206,"&lt;="&amp;DATE(2026,10,18))+SUMIFS(Kamis!$H$7:$H$186,Kamis!$C$7:$C$186,$B33,Kamis!$A$7:$A$186,"&gt;="&amp;DATE(2026,10,12),Kamis!$A$7:$A$186,"&lt;="&amp;DATE(2026,10,18))+SUMIFS(Jumat!$H$7:$H$186,Jumat!$C$7:$C$186,$B33,Jumat!$A$7:$A$186,"&gt;="&amp;DATE(2026,10,12),Jumat!$A$7:$A$186,"&lt;="&amp;DATE(2026,10,18))</f>
        <v>0</v>
      </c>
      <c r="R33" s="45">
        <f>SUMIFS(Senin!$H$7:$H$146,Senin!$C$7:$C$146,$B33,Senin!$A$7:$A$146,"&gt;="&amp;DATE(2026,10,19),Senin!$A$7:$A$146,"&lt;="&amp;DATE(2026,10,25))+SUMIFS(Selasa!$H$7:$H$166,Selasa!$C$7:$C$166,$B33,Selasa!$A$7:$A$166,"&gt;="&amp;DATE(2026,10,19),Selasa!$A$7:$A$166,"&lt;="&amp;DATE(2026,10,25))+SUMIFS(Rabu!$H$7:$H$206,Rabu!$C$7:$C$206,$B33,Rabu!$A$7:$A$206,"&gt;="&amp;DATE(2026,10,19),Rabu!$A$7:$A$206,"&lt;="&amp;DATE(2026,10,25))+SUMIFS(Kamis!$H$7:$H$186,Kamis!$C$7:$C$186,$B33,Kamis!$A$7:$A$186,"&gt;="&amp;DATE(2026,10,19),Kamis!$A$7:$A$186,"&lt;="&amp;DATE(2026,10,25))+SUMIFS(Jumat!$H$7:$H$186,Jumat!$C$7:$C$186,$B33,Jumat!$A$7:$A$186,"&gt;="&amp;DATE(2026,10,19),Jumat!$A$7:$A$186,"&lt;="&amp;DATE(2026,10,25))</f>
        <v>0</v>
      </c>
      <c r="S33" s="45">
        <f>SUMIFS(Senin!$H$7:$H$146,Senin!$C$7:$C$146,$B33,Senin!$A$7:$A$146,"&gt;="&amp;DATE(2026,10,26),Senin!$A$7:$A$146,"&lt;="&amp;DATE(2026,11,1))+SUMIFS(Selasa!$H$7:$H$166,Selasa!$C$7:$C$166,$B33,Selasa!$A$7:$A$166,"&gt;="&amp;DATE(2026,10,26),Selasa!$A$7:$A$166,"&lt;="&amp;DATE(2026,11,1))+SUMIFS(Rabu!$H$7:$H$206,Rabu!$C$7:$C$206,$B33,Rabu!$A$7:$A$206,"&gt;="&amp;DATE(2026,10,26),Rabu!$A$7:$A$206,"&lt;="&amp;DATE(2026,11,1))+SUMIFS(Kamis!$H$7:$H$186,Kamis!$C$7:$C$186,$B33,Kamis!$A$7:$A$186,"&gt;="&amp;DATE(2026,10,26),Kamis!$A$7:$A$186,"&lt;="&amp;DATE(2026,11,1))+SUMIFS(Jumat!$H$7:$H$186,Jumat!$C$7:$C$186,$B33,Jumat!$A$7:$A$186,"&gt;="&amp;DATE(2026,10,26),Jumat!$A$7:$A$186,"&lt;="&amp;DATE(2026,11,1))</f>
        <v>0</v>
      </c>
      <c r="T33" s="45">
        <f>SUMIFS(Senin!$H$7:$H$146,Senin!$C$7:$C$146,$B33,Senin!$A$7:$A$146,"&gt;="&amp;DATE(2026,11,2),Senin!$A$7:$A$146,"&lt;="&amp;DATE(2026,11,8))+SUMIFS(Selasa!$H$7:$H$166,Selasa!$C$7:$C$166,$B33,Selasa!$A$7:$A$166,"&gt;="&amp;DATE(2026,11,2),Selasa!$A$7:$A$166,"&lt;="&amp;DATE(2026,11,8))+SUMIFS(Rabu!$H$7:$H$206,Rabu!$C$7:$C$206,$B33,Rabu!$A$7:$A$206,"&gt;="&amp;DATE(2026,11,2),Rabu!$A$7:$A$206,"&lt;="&amp;DATE(2026,11,8))+SUMIFS(Kamis!$H$7:$H$186,Kamis!$C$7:$C$186,$B33,Kamis!$A$7:$A$186,"&gt;="&amp;DATE(2026,11,2),Kamis!$A$7:$A$186,"&lt;="&amp;DATE(2026,11,8))+SUMIFS(Jumat!$H$7:$H$186,Jumat!$C$7:$C$186,$B33,Jumat!$A$7:$A$186,"&gt;="&amp;DATE(2026,11,2),Jumat!$A$7:$A$186,"&lt;="&amp;DATE(2026,11,8))</f>
        <v>0</v>
      </c>
      <c r="U33" s="45">
        <f>SUMIFS(Senin!$H$7:$H$146,Senin!$C$7:$C$146,$B33,Senin!$A$7:$A$146,"&gt;="&amp;DATE(2026,11,9),Senin!$A$7:$A$146,"&lt;="&amp;DATE(2026,11,15))+SUMIFS(Selasa!$H$7:$H$166,Selasa!$C$7:$C$166,$B33,Selasa!$A$7:$A$166,"&gt;="&amp;DATE(2026,11,9),Selasa!$A$7:$A$166,"&lt;="&amp;DATE(2026,11,15))+SUMIFS(Rabu!$H$7:$H$206,Rabu!$C$7:$C$206,$B33,Rabu!$A$7:$A$206,"&gt;="&amp;DATE(2026,11,9),Rabu!$A$7:$A$206,"&lt;="&amp;DATE(2026,11,15))+SUMIFS(Kamis!$H$7:$H$186,Kamis!$C$7:$C$186,$B33,Kamis!$A$7:$A$186,"&gt;="&amp;DATE(2026,11,9),Kamis!$A$7:$A$186,"&lt;="&amp;DATE(2026,11,15))+SUMIFS(Jumat!$H$7:$H$186,Jumat!$C$7:$C$186,$B33,Jumat!$A$7:$A$186,"&gt;="&amp;DATE(2026,11,9),Jumat!$A$7:$A$186,"&lt;="&amp;DATE(2026,11,15))</f>
        <v>0</v>
      </c>
      <c r="V33" s="45">
        <f>SUMIFS(Senin!$H$7:$H$146,Senin!$C$7:$C$146,$B33,Senin!$A$7:$A$146,"&gt;="&amp;DATE(2026,11,16),Senin!$A$7:$A$146,"&lt;="&amp;DATE(2026,11,22))+SUMIFS(Selasa!$H$7:$H$166,Selasa!$C$7:$C$166,$B33,Selasa!$A$7:$A$166,"&gt;="&amp;DATE(2026,11,16),Selasa!$A$7:$A$166,"&lt;="&amp;DATE(2026,11,22))+SUMIFS(Rabu!$H$7:$H$206,Rabu!$C$7:$C$206,$B33,Rabu!$A$7:$A$206,"&gt;="&amp;DATE(2026,11,16),Rabu!$A$7:$A$206,"&lt;="&amp;DATE(2026,11,22))+SUMIFS(Kamis!$H$7:$H$186,Kamis!$C$7:$C$186,$B33,Kamis!$A$7:$A$186,"&gt;="&amp;DATE(2026,11,16),Kamis!$A$7:$A$186,"&lt;="&amp;DATE(2026,11,22))+SUMIFS(Jumat!$H$7:$H$186,Jumat!$C$7:$C$186,$B33,Jumat!$A$7:$A$186,"&gt;="&amp;DATE(2026,11,16),Jumat!$A$7:$A$186,"&lt;="&amp;DATE(2026,11,22))</f>
        <v>0</v>
      </c>
      <c r="W33" s="45">
        <f>SUMIFS(Senin!$H$7:$H$146,Senin!$C$7:$C$146,$B33,Senin!$A$7:$A$146,"&gt;="&amp;DATE(2026,11,23),Senin!$A$7:$A$146,"&lt;="&amp;DATE(2026,11,29))+SUMIFS(Selasa!$H$7:$H$166,Selasa!$C$7:$C$166,$B33,Selasa!$A$7:$A$166,"&gt;="&amp;DATE(2026,11,23),Selasa!$A$7:$A$166,"&lt;="&amp;DATE(2026,11,29))+SUMIFS(Rabu!$H$7:$H$206,Rabu!$C$7:$C$206,$B33,Rabu!$A$7:$A$206,"&gt;="&amp;DATE(2026,11,23),Rabu!$A$7:$A$206,"&lt;="&amp;DATE(2026,11,29))+SUMIFS(Kamis!$H$7:$H$186,Kamis!$C$7:$C$186,$B33,Kamis!$A$7:$A$186,"&gt;="&amp;DATE(2026,11,23),Kamis!$A$7:$A$186,"&lt;="&amp;DATE(2026,11,29))+SUMIFS(Jumat!$H$7:$H$186,Jumat!$C$7:$C$186,$B33,Jumat!$A$7:$A$186,"&gt;="&amp;DATE(2026,11,23),Jumat!$A$7:$A$186,"&lt;="&amp;DATE(2026,11,29))</f>
        <v>0</v>
      </c>
      <c r="X33" s="45">
        <f>SUMIFS(Senin!$H$7:$H$146,Senin!$C$7:$C$146,$B33,Senin!$A$7:$A$146,"&gt;="&amp;DATE(2026,11,30),Senin!$A$7:$A$146,"&lt;="&amp;DATE(2026,12,6))+SUMIFS(Selasa!$H$7:$H$166,Selasa!$C$7:$C$166,$B33,Selasa!$A$7:$A$166,"&gt;="&amp;DATE(2026,11,30),Selasa!$A$7:$A$166,"&lt;="&amp;DATE(2026,12,6))+SUMIFS(Rabu!$H$7:$H$206,Rabu!$C$7:$C$206,$B33,Rabu!$A$7:$A$206,"&gt;="&amp;DATE(2026,11,30),Rabu!$A$7:$A$206,"&lt;="&amp;DATE(2026,12,6))+SUMIFS(Kamis!$H$7:$H$186,Kamis!$C$7:$C$186,$B33,Kamis!$A$7:$A$186,"&gt;="&amp;DATE(2026,11,30),Kamis!$A$7:$A$186,"&lt;="&amp;DATE(2026,12,6))+SUMIFS(Jumat!$H$7:$H$186,Jumat!$C$7:$C$186,$B33,Jumat!$A$7:$A$186,"&gt;="&amp;DATE(2026,11,30),Jumat!$A$7:$A$186,"&lt;="&amp;DATE(2026,12,6))</f>
        <v>0</v>
      </c>
      <c r="Y33" s="45">
        <f>SUMIFS(Senin!$H$7:$H$146,Senin!$C$7:$C$146,$B33,Senin!$A$7:$A$146,"&gt;="&amp;DATE(2026,12,7),Senin!$A$7:$A$146,"&lt;="&amp;DATE(2026,12,13))+SUMIFS(Selasa!$H$7:$H$166,Selasa!$C$7:$C$166,$B33,Selasa!$A$7:$A$166,"&gt;="&amp;DATE(2026,12,7),Selasa!$A$7:$A$166,"&lt;="&amp;DATE(2026,12,13))+SUMIFS(Rabu!$H$7:$H$206,Rabu!$C$7:$C$206,$B33,Rabu!$A$7:$A$206,"&gt;="&amp;DATE(2026,12,7),Rabu!$A$7:$A$206,"&lt;="&amp;DATE(2026,12,13))+SUMIFS(Kamis!$H$7:$H$186,Kamis!$C$7:$C$186,$B33,Kamis!$A$7:$A$186,"&gt;="&amp;DATE(2026,12,7),Kamis!$A$7:$A$186,"&lt;="&amp;DATE(2026,12,13))+SUMIFS(Jumat!$H$7:$H$186,Jumat!$C$7:$C$186,$B33,Jumat!$A$7:$A$186,"&gt;="&amp;DATE(2026,12,7),Jumat!$A$7:$A$186,"&lt;="&amp;DATE(2026,12,13))</f>
        <v>0</v>
      </c>
      <c r="Z33" s="45">
        <f>SUMIFS(Senin!$H$7:$H$146,Senin!$C$7:$C$146,$B33,Senin!$A$7:$A$146,"&gt;="&amp;DATE(2026,12,14),Senin!$A$7:$A$146,"&lt;="&amp;DATE(2026,12,20))+SUMIFS(Selasa!$H$7:$H$166,Selasa!$C$7:$C$166,$B33,Selasa!$A$7:$A$166,"&gt;="&amp;DATE(2026,12,14),Selasa!$A$7:$A$166,"&lt;="&amp;DATE(2026,12,20))+SUMIFS(Rabu!$H$7:$H$206,Rabu!$C$7:$C$206,$B33,Rabu!$A$7:$A$206,"&gt;="&amp;DATE(2026,12,14),Rabu!$A$7:$A$206,"&lt;="&amp;DATE(2026,12,20))+SUMIFS(Kamis!$H$7:$H$186,Kamis!$C$7:$C$186,$B33,Kamis!$A$7:$A$186,"&gt;="&amp;DATE(2026,12,14),Kamis!$A$7:$A$186,"&lt;="&amp;DATE(2026,12,20))+SUMIFS(Jumat!$H$7:$H$186,Jumat!$C$7:$C$186,$B33,Jumat!$A$7:$A$186,"&gt;="&amp;DATE(2026,12,14),Jumat!$A$7:$A$186,"&lt;="&amp;DATE(2026,12,20))</f>
        <v>0</v>
      </c>
      <c r="AA33" s="45">
        <f>SUMIFS(Senin!$H$7:$H$146,Senin!$C$7:$C$146,$B33,Senin!$A$7:$A$146,"&gt;="&amp;DATE(2026,12,21),Senin!$A$7:$A$146,"&lt;="&amp;DATE(2026,12,27))+SUMIFS(Selasa!$H$7:$H$166,Selasa!$C$7:$C$166,$B33,Selasa!$A$7:$A$166,"&gt;="&amp;DATE(2026,12,21),Selasa!$A$7:$A$166,"&lt;="&amp;DATE(2026,12,27))+SUMIFS(Rabu!$H$7:$H$206,Rabu!$C$7:$C$206,$B33,Rabu!$A$7:$A$206,"&gt;="&amp;DATE(2026,12,21),Rabu!$A$7:$A$206,"&lt;="&amp;DATE(2026,12,27))+SUMIFS(Kamis!$H$7:$H$186,Kamis!$C$7:$C$186,$B33,Kamis!$A$7:$A$186,"&gt;="&amp;DATE(2026,12,21),Kamis!$A$7:$A$186,"&lt;="&amp;DATE(2026,12,27))+SUMIFS(Jumat!$H$7:$H$186,Jumat!$C$7:$C$186,$B33,Jumat!$A$7:$A$186,"&gt;="&amp;DATE(2026,12,21),Jumat!$A$7:$A$186,"&lt;="&amp;DATE(2026,12,27))</f>
        <v>0</v>
      </c>
      <c r="AB33" s="45">
        <f>SUMIFS(Senin!$H$7:$H$146,Senin!$C$7:$C$146,$B33,Senin!$A$7:$A$146,"&gt;="&amp;DATE(2026,12,28),Senin!$A$7:$A$146,"&lt;="&amp;DATE(2027,1,3))+SUMIFS(Selasa!$H$7:$H$166,Selasa!$C$7:$C$166,$B33,Selasa!$A$7:$A$166,"&gt;="&amp;DATE(2026,12,28),Selasa!$A$7:$A$166,"&lt;="&amp;DATE(2027,1,3))+SUMIFS(Rabu!$H$7:$H$206,Rabu!$C$7:$C$206,$B33,Rabu!$A$7:$A$206,"&gt;="&amp;DATE(2026,12,28),Rabu!$A$7:$A$206,"&lt;="&amp;DATE(2027,1,3))+SUMIFS(Kamis!$H$7:$H$186,Kamis!$C$7:$C$186,$B33,Kamis!$A$7:$A$186,"&gt;="&amp;DATE(2026,12,28),Kamis!$A$7:$A$186,"&lt;="&amp;DATE(2027,1,3))+SUMIFS(Jumat!$H$7:$H$186,Jumat!$C$7:$C$186,$B33,Jumat!$A$7:$A$186,"&gt;="&amp;DATE(2026,12,28),Jumat!$A$7:$A$186,"&lt;="&amp;DATE(2027,1,3))</f>
        <v>0</v>
      </c>
      <c r="AC33" s="45">
        <f>SUMIFS(Senin!$H$7:$H$146,Senin!$C$7:$C$146,$B33,Senin!$A$7:$A$146,"&gt;="&amp;DATE(2027,1,4),Senin!$A$7:$A$146,"&lt;="&amp;DATE(2027,1,10))+SUMIFS(Selasa!$H$7:$H$166,Selasa!$C$7:$C$166,$B33,Selasa!$A$7:$A$166,"&gt;="&amp;DATE(2027,1,4),Selasa!$A$7:$A$166,"&lt;="&amp;DATE(2027,1,10))+SUMIFS(Rabu!$H$7:$H$206,Rabu!$C$7:$C$206,$B33,Rabu!$A$7:$A$206,"&gt;="&amp;DATE(2027,1,4),Rabu!$A$7:$A$206,"&lt;="&amp;DATE(2027,1,10))+SUMIFS(Kamis!$H$7:$H$186,Kamis!$C$7:$C$186,$B33,Kamis!$A$7:$A$186,"&gt;="&amp;DATE(2027,1,4),Kamis!$A$7:$A$186,"&lt;="&amp;DATE(2027,1,10))+SUMIFS(Jumat!$H$7:$H$186,Jumat!$C$7:$C$186,$B33,Jumat!$A$7:$A$186,"&gt;="&amp;DATE(2027,1,4),Jumat!$A$7:$A$186,"&lt;="&amp;DATE(2027,1,10))</f>
        <v>0</v>
      </c>
      <c r="AD33" s="45">
        <f>SUMIFS(Senin!$H$7:$H$146,Senin!$C$7:$C$146,$B33,Senin!$A$7:$A$146,"&gt;="&amp;DATE(2027,1,11),Senin!$A$7:$A$146,"&lt;="&amp;DATE(2027,1,17))+SUMIFS(Selasa!$H$7:$H$166,Selasa!$C$7:$C$166,$B33,Selasa!$A$7:$A$166,"&gt;="&amp;DATE(2027,1,11),Selasa!$A$7:$A$166,"&lt;="&amp;DATE(2027,1,17))+SUMIFS(Rabu!$H$7:$H$206,Rabu!$C$7:$C$206,$B33,Rabu!$A$7:$A$206,"&gt;="&amp;DATE(2027,1,11),Rabu!$A$7:$A$206,"&lt;="&amp;DATE(2027,1,17))+SUMIFS(Kamis!$H$7:$H$186,Kamis!$C$7:$C$186,$B33,Kamis!$A$7:$A$186,"&gt;="&amp;DATE(2027,1,11),Kamis!$A$7:$A$186,"&lt;="&amp;DATE(2027,1,17))+SUMIFS(Jumat!$H$7:$H$186,Jumat!$C$7:$C$186,$B33,Jumat!$A$7:$A$186,"&gt;="&amp;DATE(2027,1,11),Jumat!$A$7:$A$186,"&lt;="&amp;DATE(2027,1,17))</f>
        <v>0</v>
      </c>
    </row>
    <row r="34" ht="15.75" customHeight="1">
      <c r="A34" s="62">
        <v>31.0</v>
      </c>
      <c r="B34" s="26" t="s">
        <v>51</v>
      </c>
      <c r="C34" s="41">
        <f>COUNTIFS(Senin!$C$7:$C$146,$B34,Senin!$G$7:$G$146,"Ya",Senin!$E$7:$E$146,"&lt;&gt;")+COUNTIFS(Selasa!$C$7:$C$166,$B34,Selasa!$G$7:$G$166,"Ya",Selasa!$E$7:$E$166,"&lt;&gt;")+COUNTIFS(Rabu!$C$7:$C$206,$B34,Rabu!$G$7:$G$206,"Ya",Rabu!$E$7:$E$206,"&lt;&gt;")+COUNTIFS(Kamis!$C$7:$C$186,$B34,Kamis!$G$7:$G$186,"Ya",Kamis!$E$7:$E$186,"&lt;&gt;")+COUNTIFS(Jumat!$C$7:$C$186,$B34,Jumat!$G$7:$G$186,"Ya",Jumat!$E$7:$E$186,"&lt;&gt;")</f>
        <v>0</v>
      </c>
      <c r="D34" s="41">
        <f>COUNTIFS(Senin!$C$7:$C$146,$B34,Senin!$G$7:$G$146,"Ya",Senin!$E$7:$E$146,"")+COUNTIFS(Selasa!$C$7:$C$166,$B34,Selasa!$G$7:$G$166,"Ya",Selasa!$E$7:$E$166,"")+COUNTIFS(Rabu!$C$7:$C$206,$B34,Rabu!$G$7:$G$206,"Ya",Rabu!$E$7:$E$206,"")+COUNTIFS(Kamis!$C$7:$C$186,$B34,Kamis!$G$7:$G$186,"Ya",Kamis!$E$7:$E$186,"")+COUNTIFS(Jumat!$C$7:$C$186,$B34,Jumat!$G$7:$G$186,"Ya",Jumat!$E$7:$E$186,"")</f>
        <v>0</v>
      </c>
      <c r="E34" s="45">
        <f>SUMIFS(Senin!$H$7:$H$146,Senin!$C$7:$C$146,$B34,Senin!$A$7:$A$146,"&gt;="&amp;DATE(2026,8,1),Senin!$A$7:$A$146,"&lt;="&amp;DATE(2026,12,31))+SUMIFS(Selasa!$H$7:$H$166,Selasa!$C$7:$C$166,$B34,Selasa!$A$7:$A$166,"&gt;="&amp;DATE(2026,8,1),Selasa!$A$7:$A$166,"&lt;="&amp;DATE(2026,12,31))+SUMIFS(Rabu!$H$7:$H$206,Rabu!$C$7:$C$206,$B34,Rabu!$A$7:$A$206,"&gt;="&amp;DATE(2026,8,1),Rabu!$A$7:$A$206,"&lt;="&amp;DATE(2026,12,31))+SUMIFS(Kamis!$H$7:$H$186,Kamis!$C$7:$C$186,$B34,Kamis!$A$7:$A$186,"&gt;="&amp;DATE(2026,8,1),Kamis!$A$7:$A$186,"&lt;="&amp;DATE(2026,12,31))+SUMIFS(Jumat!$H$7:$H$186,Jumat!$C$7:$C$186,$B34,Jumat!$A$7:$A$186,"&gt;="&amp;DATE(2026,8,1),Jumat!$A$7:$A$186,"&lt;="&amp;DATE(2026,12,31))</f>
        <v>0</v>
      </c>
      <c r="F34" s="45">
        <f>SUMIFS(Senin!$H$7:$H$146,Senin!$C$7:$C$146,$B34,Senin!$A$7:$A$146,"&gt;="&amp;DATE(2026,8,1),Senin!$A$7:$A$146,"&lt;="&amp;DATE(2026,8,31))+SUMIFS(Selasa!$H$7:$H$166,Selasa!$C$7:$C$166,$B34,Selasa!$A$7:$A$166,"&gt;="&amp;DATE(2026,8,1),Selasa!$A$7:$A$166,"&lt;="&amp;DATE(2026,8,31))+SUMIFS(Rabu!$H$7:$H$206,Rabu!$C$7:$C$206,$B34,Rabu!$A$7:$A$206,"&gt;="&amp;DATE(2026,8,1),Rabu!$A$7:$A$206,"&lt;="&amp;DATE(2026,8,31))+SUMIFS(Kamis!$H$7:$H$186,Kamis!$C$7:$C$186,$B34,Kamis!$A$7:$A$186,"&gt;="&amp;DATE(2026,8,1),Kamis!$A$7:$A$186,"&lt;="&amp;DATE(2026,8,31))+SUMIFS(Jumat!$H$7:$H$186,Jumat!$C$7:$C$186,$B34,Jumat!$A$7:$A$186,"&gt;="&amp;DATE(2026,8,1),Jumat!$A$7:$A$186,"&lt;="&amp;DATE(2026,8,31))</f>
        <v>0</v>
      </c>
      <c r="G34" s="45">
        <f>SUMIFS(Senin!$H$7:$H$146,Senin!$C$7:$C$146,$B34,Senin!$A$7:$A$146,"&gt;="&amp;DATE(2026,9,1),Senin!$A$7:$A$146,"&lt;="&amp;DATE(2026,9,30))+SUMIFS(Selasa!$H$7:$H$166,Selasa!$C$7:$C$166,$B34,Selasa!$A$7:$A$166,"&gt;="&amp;DATE(2026,9,1),Selasa!$A$7:$A$166,"&lt;="&amp;DATE(2026,9,30))+SUMIFS(Rabu!$H$7:$H$206,Rabu!$C$7:$C$206,$B34,Rabu!$A$7:$A$206,"&gt;="&amp;DATE(2026,9,1),Rabu!$A$7:$A$206,"&lt;="&amp;DATE(2026,9,30))+SUMIFS(Kamis!$H$7:$H$186,Kamis!$C$7:$C$186,$B34,Kamis!$A$7:$A$186,"&gt;="&amp;DATE(2026,9,1),Kamis!$A$7:$A$186,"&lt;="&amp;DATE(2026,9,30))+SUMIFS(Jumat!$H$7:$H$186,Jumat!$C$7:$C$186,$B34,Jumat!$A$7:$A$186,"&gt;="&amp;DATE(2026,9,1),Jumat!$A$7:$A$186,"&lt;="&amp;DATE(2026,9,30))</f>
        <v>0</v>
      </c>
      <c r="H34" s="45">
        <f>SUMIFS(Senin!$H$7:$H$146,Senin!$C$7:$C$146,$B34,Senin!$A$7:$A$146,"&gt;="&amp;DATE(2026,10,1),Senin!$A$7:$A$146,"&lt;="&amp;DATE(2026,10,31))+SUMIFS(Selasa!$H$7:$H$166,Selasa!$C$7:$C$166,$B34,Selasa!$A$7:$A$166,"&gt;="&amp;DATE(2026,10,1),Selasa!$A$7:$A$166,"&lt;="&amp;DATE(2026,10,31))+SUMIFS(Rabu!$H$7:$H$206,Rabu!$C$7:$C$206,$B34,Rabu!$A$7:$A$206,"&gt;="&amp;DATE(2026,10,1),Rabu!$A$7:$A$206,"&lt;="&amp;DATE(2026,10,31))+SUMIFS(Kamis!$H$7:$H$186,Kamis!$C$7:$C$186,$B34,Kamis!$A$7:$A$186,"&gt;="&amp;DATE(2026,10,1),Kamis!$A$7:$A$186,"&lt;="&amp;DATE(2026,10,31))+SUMIFS(Jumat!$H$7:$H$186,Jumat!$C$7:$C$186,$B34,Jumat!$A$7:$A$186,"&gt;="&amp;DATE(2026,10,1),Jumat!$A$7:$A$186,"&lt;="&amp;DATE(2026,10,31))</f>
        <v>0</v>
      </c>
      <c r="I34" s="45">
        <f>SUMIFS(Senin!$H$7:$H$146,Senin!$C$7:$C$146,$B34,Senin!$A$7:$A$146,"&gt;="&amp;DATE(2026,11,1),Senin!$A$7:$A$146,"&lt;="&amp;DATE(2026,11,30))+SUMIFS(Selasa!$H$7:$H$166,Selasa!$C$7:$C$166,$B34,Selasa!$A$7:$A$166,"&gt;="&amp;DATE(2026,11,1),Selasa!$A$7:$A$166,"&lt;="&amp;DATE(2026,11,30))+SUMIFS(Rabu!$H$7:$H$206,Rabu!$C$7:$C$206,$B34,Rabu!$A$7:$A$206,"&gt;="&amp;DATE(2026,11,1),Rabu!$A$7:$A$206,"&lt;="&amp;DATE(2026,11,30))+SUMIFS(Kamis!$H$7:$H$186,Kamis!$C$7:$C$186,$B34,Kamis!$A$7:$A$186,"&gt;="&amp;DATE(2026,11,1),Kamis!$A$7:$A$186,"&lt;="&amp;DATE(2026,11,30))+SUMIFS(Jumat!$H$7:$H$186,Jumat!$C$7:$C$186,$B34,Jumat!$A$7:$A$186,"&gt;="&amp;DATE(2026,11,1),Jumat!$A$7:$A$186,"&lt;="&amp;DATE(2026,11,30))</f>
        <v>0</v>
      </c>
      <c r="J34" s="45">
        <f>SUMIFS(Senin!$H$7:$H$146,Senin!$C$7:$C$146,$B34,Senin!$A$7:$A$146,"&gt;="&amp;DATE(2026,12,1),Senin!$A$7:$A$146,"&lt;="&amp;DATE(2026,12,31))+SUMIFS(Selasa!$H$7:$H$166,Selasa!$C$7:$C$166,$B34,Selasa!$A$7:$A$166,"&gt;="&amp;DATE(2026,12,1),Selasa!$A$7:$A$166,"&lt;="&amp;DATE(2026,12,31))+SUMIFS(Rabu!$H$7:$H$206,Rabu!$C$7:$C$206,$B34,Rabu!$A$7:$A$206,"&gt;="&amp;DATE(2026,12,1),Rabu!$A$7:$A$206,"&lt;="&amp;DATE(2026,12,31))+SUMIFS(Kamis!$H$7:$H$186,Kamis!$C$7:$C$186,$B34,Kamis!$A$7:$A$186,"&gt;="&amp;DATE(2026,12,1),Kamis!$A$7:$A$186,"&lt;="&amp;DATE(2026,12,31))+SUMIFS(Jumat!$H$7:$H$186,Jumat!$C$7:$C$186,$B34,Jumat!$A$7:$A$186,"&gt;="&amp;DATE(2026,12,1),Jumat!$A$7:$A$186,"&lt;="&amp;DATE(2026,12,31))</f>
        <v>0</v>
      </c>
      <c r="K34" s="45">
        <f>SUMIFS(Senin!$H$7:$H$146,Senin!$C$7:$C$146,$B34,Senin!$A$7:$A$146,"&gt;="&amp;DATE(2026,8,31),Senin!$A$7:$A$146,"&lt;="&amp;DATE(2026,9,6))+SUMIFS(Selasa!$H$7:$H$166,Selasa!$C$7:$C$166,$B34,Selasa!$A$7:$A$166,"&gt;="&amp;DATE(2026,8,31),Selasa!$A$7:$A$166,"&lt;="&amp;DATE(2026,9,6))+SUMIFS(Rabu!$H$7:$H$206,Rabu!$C$7:$C$206,$B34,Rabu!$A$7:$A$206,"&gt;="&amp;DATE(2026,8,31),Rabu!$A$7:$A$206,"&lt;="&amp;DATE(2026,9,6))+SUMIFS(Kamis!$H$7:$H$186,Kamis!$C$7:$C$186,$B34,Kamis!$A$7:$A$186,"&gt;="&amp;DATE(2026,8,31),Kamis!$A$7:$A$186,"&lt;="&amp;DATE(2026,9,6))+SUMIFS(Jumat!$H$7:$H$186,Jumat!$C$7:$C$186,$B34,Jumat!$A$7:$A$186,"&gt;="&amp;DATE(2026,8,31),Jumat!$A$7:$A$186,"&lt;="&amp;DATE(2026,9,6))</f>
        <v>0</v>
      </c>
      <c r="L34" s="45">
        <f>SUMIFS(Senin!$H$7:$H$146,Senin!$C$7:$C$146,$B34,Senin!$A$7:$A$146,"&gt;="&amp;DATE(2026,9,7),Senin!$A$7:$A$146,"&lt;="&amp;DATE(2026,9,13))+SUMIFS(Selasa!$H$7:$H$166,Selasa!$C$7:$C$166,$B34,Selasa!$A$7:$A$166,"&gt;="&amp;DATE(2026,9,7),Selasa!$A$7:$A$166,"&lt;="&amp;DATE(2026,9,13))+SUMIFS(Rabu!$H$7:$H$206,Rabu!$C$7:$C$206,$B34,Rabu!$A$7:$A$206,"&gt;="&amp;DATE(2026,9,7),Rabu!$A$7:$A$206,"&lt;="&amp;DATE(2026,9,13))+SUMIFS(Kamis!$H$7:$H$186,Kamis!$C$7:$C$186,$B34,Kamis!$A$7:$A$186,"&gt;="&amp;DATE(2026,9,7),Kamis!$A$7:$A$186,"&lt;="&amp;DATE(2026,9,13))+SUMIFS(Jumat!$H$7:$H$186,Jumat!$C$7:$C$186,$B34,Jumat!$A$7:$A$186,"&gt;="&amp;DATE(2026,9,7),Jumat!$A$7:$A$186,"&lt;="&amp;DATE(2026,9,13))</f>
        <v>0</v>
      </c>
      <c r="M34" s="45">
        <f>SUMIFS(Senin!$H$7:$H$146,Senin!$C$7:$C$146,$B34,Senin!$A$7:$A$146,"&gt;="&amp;DATE(2026,9,14),Senin!$A$7:$A$146,"&lt;="&amp;DATE(2026,9,20))+SUMIFS(Selasa!$H$7:$H$166,Selasa!$C$7:$C$166,$B34,Selasa!$A$7:$A$166,"&gt;="&amp;DATE(2026,9,14),Selasa!$A$7:$A$166,"&lt;="&amp;DATE(2026,9,20))+SUMIFS(Rabu!$H$7:$H$206,Rabu!$C$7:$C$206,$B34,Rabu!$A$7:$A$206,"&gt;="&amp;DATE(2026,9,14),Rabu!$A$7:$A$206,"&lt;="&amp;DATE(2026,9,20))+SUMIFS(Kamis!$H$7:$H$186,Kamis!$C$7:$C$186,$B34,Kamis!$A$7:$A$186,"&gt;="&amp;DATE(2026,9,14),Kamis!$A$7:$A$186,"&lt;="&amp;DATE(2026,9,20))+SUMIFS(Jumat!$H$7:$H$186,Jumat!$C$7:$C$186,$B34,Jumat!$A$7:$A$186,"&gt;="&amp;DATE(2026,9,14),Jumat!$A$7:$A$186,"&lt;="&amp;DATE(2026,9,20))</f>
        <v>0</v>
      </c>
      <c r="N34" s="45">
        <f>SUMIFS(Senin!$H$7:$H$146,Senin!$C$7:$C$146,$B34,Senin!$A$7:$A$146,"&gt;="&amp;DATE(2026,9,21),Senin!$A$7:$A$146,"&lt;="&amp;DATE(2026,9,27))+SUMIFS(Selasa!$H$7:$H$166,Selasa!$C$7:$C$166,$B34,Selasa!$A$7:$A$166,"&gt;="&amp;DATE(2026,9,21),Selasa!$A$7:$A$166,"&lt;="&amp;DATE(2026,9,27))+SUMIFS(Rabu!$H$7:$H$206,Rabu!$C$7:$C$206,$B34,Rabu!$A$7:$A$206,"&gt;="&amp;DATE(2026,9,21),Rabu!$A$7:$A$206,"&lt;="&amp;DATE(2026,9,27))+SUMIFS(Kamis!$H$7:$H$186,Kamis!$C$7:$C$186,$B34,Kamis!$A$7:$A$186,"&gt;="&amp;DATE(2026,9,21),Kamis!$A$7:$A$186,"&lt;="&amp;DATE(2026,9,27))+SUMIFS(Jumat!$H$7:$H$186,Jumat!$C$7:$C$186,$B34,Jumat!$A$7:$A$186,"&gt;="&amp;DATE(2026,9,21),Jumat!$A$7:$A$186,"&lt;="&amp;DATE(2026,9,27))</f>
        <v>0</v>
      </c>
      <c r="O34" s="45">
        <f>SUMIFS(Senin!$H$7:$H$146,Senin!$C$7:$C$146,$B34,Senin!$A$7:$A$146,"&gt;="&amp;DATE(2026,9,28),Senin!$A$7:$A$146,"&lt;="&amp;DATE(2026,10,4))+SUMIFS(Selasa!$H$7:$H$166,Selasa!$C$7:$C$166,$B34,Selasa!$A$7:$A$166,"&gt;="&amp;DATE(2026,9,28),Selasa!$A$7:$A$166,"&lt;="&amp;DATE(2026,10,4))+SUMIFS(Rabu!$H$7:$H$206,Rabu!$C$7:$C$206,$B34,Rabu!$A$7:$A$206,"&gt;="&amp;DATE(2026,9,28),Rabu!$A$7:$A$206,"&lt;="&amp;DATE(2026,10,4))+SUMIFS(Kamis!$H$7:$H$186,Kamis!$C$7:$C$186,$B34,Kamis!$A$7:$A$186,"&gt;="&amp;DATE(2026,9,28),Kamis!$A$7:$A$186,"&lt;="&amp;DATE(2026,10,4))+SUMIFS(Jumat!$H$7:$H$186,Jumat!$C$7:$C$186,$B34,Jumat!$A$7:$A$186,"&gt;="&amp;DATE(2026,9,28),Jumat!$A$7:$A$186,"&lt;="&amp;DATE(2026,10,4))</f>
        <v>0</v>
      </c>
      <c r="P34" s="45">
        <f>SUMIFS(Senin!$H$7:$H$146,Senin!$C$7:$C$146,$B34,Senin!$A$7:$A$146,"&gt;="&amp;DATE(2026,10,5),Senin!$A$7:$A$146,"&lt;="&amp;DATE(2026,10,11))+SUMIFS(Selasa!$H$7:$H$166,Selasa!$C$7:$C$166,$B34,Selasa!$A$7:$A$166,"&gt;="&amp;DATE(2026,10,5),Selasa!$A$7:$A$166,"&lt;="&amp;DATE(2026,10,11))+SUMIFS(Rabu!$H$7:$H$206,Rabu!$C$7:$C$206,$B34,Rabu!$A$7:$A$206,"&gt;="&amp;DATE(2026,10,5),Rabu!$A$7:$A$206,"&lt;="&amp;DATE(2026,10,11))+SUMIFS(Kamis!$H$7:$H$186,Kamis!$C$7:$C$186,$B34,Kamis!$A$7:$A$186,"&gt;="&amp;DATE(2026,10,5),Kamis!$A$7:$A$186,"&lt;="&amp;DATE(2026,10,11))+SUMIFS(Jumat!$H$7:$H$186,Jumat!$C$7:$C$186,$B34,Jumat!$A$7:$A$186,"&gt;="&amp;DATE(2026,10,5),Jumat!$A$7:$A$186,"&lt;="&amp;DATE(2026,10,11))</f>
        <v>0</v>
      </c>
      <c r="Q34" s="45">
        <f>SUMIFS(Senin!$H$7:$H$146,Senin!$C$7:$C$146,$B34,Senin!$A$7:$A$146,"&gt;="&amp;DATE(2026,10,12),Senin!$A$7:$A$146,"&lt;="&amp;DATE(2026,10,18))+SUMIFS(Selasa!$H$7:$H$166,Selasa!$C$7:$C$166,$B34,Selasa!$A$7:$A$166,"&gt;="&amp;DATE(2026,10,12),Selasa!$A$7:$A$166,"&lt;="&amp;DATE(2026,10,18))+SUMIFS(Rabu!$H$7:$H$206,Rabu!$C$7:$C$206,$B34,Rabu!$A$7:$A$206,"&gt;="&amp;DATE(2026,10,12),Rabu!$A$7:$A$206,"&lt;="&amp;DATE(2026,10,18))+SUMIFS(Kamis!$H$7:$H$186,Kamis!$C$7:$C$186,$B34,Kamis!$A$7:$A$186,"&gt;="&amp;DATE(2026,10,12),Kamis!$A$7:$A$186,"&lt;="&amp;DATE(2026,10,18))+SUMIFS(Jumat!$H$7:$H$186,Jumat!$C$7:$C$186,$B34,Jumat!$A$7:$A$186,"&gt;="&amp;DATE(2026,10,12),Jumat!$A$7:$A$186,"&lt;="&amp;DATE(2026,10,18))</f>
        <v>0</v>
      </c>
      <c r="R34" s="45">
        <f>SUMIFS(Senin!$H$7:$H$146,Senin!$C$7:$C$146,$B34,Senin!$A$7:$A$146,"&gt;="&amp;DATE(2026,10,19),Senin!$A$7:$A$146,"&lt;="&amp;DATE(2026,10,25))+SUMIFS(Selasa!$H$7:$H$166,Selasa!$C$7:$C$166,$B34,Selasa!$A$7:$A$166,"&gt;="&amp;DATE(2026,10,19),Selasa!$A$7:$A$166,"&lt;="&amp;DATE(2026,10,25))+SUMIFS(Rabu!$H$7:$H$206,Rabu!$C$7:$C$206,$B34,Rabu!$A$7:$A$206,"&gt;="&amp;DATE(2026,10,19),Rabu!$A$7:$A$206,"&lt;="&amp;DATE(2026,10,25))+SUMIFS(Kamis!$H$7:$H$186,Kamis!$C$7:$C$186,$B34,Kamis!$A$7:$A$186,"&gt;="&amp;DATE(2026,10,19),Kamis!$A$7:$A$186,"&lt;="&amp;DATE(2026,10,25))+SUMIFS(Jumat!$H$7:$H$186,Jumat!$C$7:$C$186,$B34,Jumat!$A$7:$A$186,"&gt;="&amp;DATE(2026,10,19),Jumat!$A$7:$A$186,"&lt;="&amp;DATE(2026,10,25))</f>
        <v>0</v>
      </c>
      <c r="S34" s="45">
        <f>SUMIFS(Senin!$H$7:$H$146,Senin!$C$7:$C$146,$B34,Senin!$A$7:$A$146,"&gt;="&amp;DATE(2026,10,26),Senin!$A$7:$A$146,"&lt;="&amp;DATE(2026,11,1))+SUMIFS(Selasa!$H$7:$H$166,Selasa!$C$7:$C$166,$B34,Selasa!$A$7:$A$166,"&gt;="&amp;DATE(2026,10,26),Selasa!$A$7:$A$166,"&lt;="&amp;DATE(2026,11,1))+SUMIFS(Rabu!$H$7:$H$206,Rabu!$C$7:$C$206,$B34,Rabu!$A$7:$A$206,"&gt;="&amp;DATE(2026,10,26),Rabu!$A$7:$A$206,"&lt;="&amp;DATE(2026,11,1))+SUMIFS(Kamis!$H$7:$H$186,Kamis!$C$7:$C$186,$B34,Kamis!$A$7:$A$186,"&gt;="&amp;DATE(2026,10,26),Kamis!$A$7:$A$186,"&lt;="&amp;DATE(2026,11,1))+SUMIFS(Jumat!$H$7:$H$186,Jumat!$C$7:$C$186,$B34,Jumat!$A$7:$A$186,"&gt;="&amp;DATE(2026,10,26),Jumat!$A$7:$A$186,"&lt;="&amp;DATE(2026,11,1))</f>
        <v>0</v>
      </c>
      <c r="T34" s="45">
        <f>SUMIFS(Senin!$H$7:$H$146,Senin!$C$7:$C$146,$B34,Senin!$A$7:$A$146,"&gt;="&amp;DATE(2026,11,2),Senin!$A$7:$A$146,"&lt;="&amp;DATE(2026,11,8))+SUMIFS(Selasa!$H$7:$H$166,Selasa!$C$7:$C$166,$B34,Selasa!$A$7:$A$166,"&gt;="&amp;DATE(2026,11,2),Selasa!$A$7:$A$166,"&lt;="&amp;DATE(2026,11,8))+SUMIFS(Rabu!$H$7:$H$206,Rabu!$C$7:$C$206,$B34,Rabu!$A$7:$A$206,"&gt;="&amp;DATE(2026,11,2),Rabu!$A$7:$A$206,"&lt;="&amp;DATE(2026,11,8))+SUMIFS(Kamis!$H$7:$H$186,Kamis!$C$7:$C$186,$B34,Kamis!$A$7:$A$186,"&gt;="&amp;DATE(2026,11,2),Kamis!$A$7:$A$186,"&lt;="&amp;DATE(2026,11,8))+SUMIFS(Jumat!$H$7:$H$186,Jumat!$C$7:$C$186,$B34,Jumat!$A$7:$A$186,"&gt;="&amp;DATE(2026,11,2),Jumat!$A$7:$A$186,"&lt;="&amp;DATE(2026,11,8))</f>
        <v>0</v>
      </c>
      <c r="U34" s="45">
        <f>SUMIFS(Senin!$H$7:$H$146,Senin!$C$7:$C$146,$B34,Senin!$A$7:$A$146,"&gt;="&amp;DATE(2026,11,9),Senin!$A$7:$A$146,"&lt;="&amp;DATE(2026,11,15))+SUMIFS(Selasa!$H$7:$H$166,Selasa!$C$7:$C$166,$B34,Selasa!$A$7:$A$166,"&gt;="&amp;DATE(2026,11,9),Selasa!$A$7:$A$166,"&lt;="&amp;DATE(2026,11,15))+SUMIFS(Rabu!$H$7:$H$206,Rabu!$C$7:$C$206,$B34,Rabu!$A$7:$A$206,"&gt;="&amp;DATE(2026,11,9),Rabu!$A$7:$A$206,"&lt;="&amp;DATE(2026,11,15))+SUMIFS(Kamis!$H$7:$H$186,Kamis!$C$7:$C$186,$B34,Kamis!$A$7:$A$186,"&gt;="&amp;DATE(2026,11,9),Kamis!$A$7:$A$186,"&lt;="&amp;DATE(2026,11,15))+SUMIFS(Jumat!$H$7:$H$186,Jumat!$C$7:$C$186,$B34,Jumat!$A$7:$A$186,"&gt;="&amp;DATE(2026,11,9),Jumat!$A$7:$A$186,"&lt;="&amp;DATE(2026,11,15))</f>
        <v>0</v>
      </c>
      <c r="V34" s="45">
        <f>SUMIFS(Senin!$H$7:$H$146,Senin!$C$7:$C$146,$B34,Senin!$A$7:$A$146,"&gt;="&amp;DATE(2026,11,16),Senin!$A$7:$A$146,"&lt;="&amp;DATE(2026,11,22))+SUMIFS(Selasa!$H$7:$H$166,Selasa!$C$7:$C$166,$B34,Selasa!$A$7:$A$166,"&gt;="&amp;DATE(2026,11,16),Selasa!$A$7:$A$166,"&lt;="&amp;DATE(2026,11,22))+SUMIFS(Rabu!$H$7:$H$206,Rabu!$C$7:$C$206,$B34,Rabu!$A$7:$A$206,"&gt;="&amp;DATE(2026,11,16),Rabu!$A$7:$A$206,"&lt;="&amp;DATE(2026,11,22))+SUMIFS(Kamis!$H$7:$H$186,Kamis!$C$7:$C$186,$B34,Kamis!$A$7:$A$186,"&gt;="&amp;DATE(2026,11,16),Kamis!$A$7:$A$186,"&lt;="&amp;DATE(2026,11,22))+SUMIFS(Jumat!$H$7:$H$186,Jumat!$C$7:$C$186,$B34,Jumat!$A$7:$A$186,"&gt;="&amp;DATE(2026,11,16),Jumat!$A$7:$A$186,"&lt;="&amp;DATE(2026,11,22))</f>
        <v>0</v>
      </c>
      <c r="W34" s="45">
        <f>SUMIFS(Senin!$H$7:$H$146,Senin!$C$7:$C$146,$B34,Senin!$A$7:$A$146,"&gt;="&amp;DATE(2026,11,23),Senin!$A$7:$A$146,"&lt;="&amp;DATE(2026,11,29))+SUMIFS(Selasa!$H$7:$H$166,Selasa!$C$7:$C$166,$B34,Selasa!$A$7:$A$166,"&gt;="&amp;DATE(2026,11,23),Selasa!$A$7:$A$166,"&lt;="&amp;DATE(2026,11,29))+SUMIFS(Rabu!$H$7:$H$206,Rabu!$C$7:$C$206,$B34,Rabu!$A$7:$A$206,"&gt;="&amp;DATE(2026,11,23),Rabu!$A$7:$A$206,"&lt;="&amp;DATE(2026,11,29))+SUMIFS(Kamis!$H$7:$H$186,Kamis!$C$7:$C$186,$B34,Kamis!$A$7:$A$186,"&gt;="&amp;DATE(2026,11,23),Kamis!$A$7:$A$186,"&lt;="&amp;DATE(2026,11,29))+SUMIFS(Jumat!$H$7:$H$186,Jumat!$C$7:$C$186,$B34,Jumat!$A$7:$A$186,"&gt;="&amp;DATE(2026,11,23),Jumat!$A$7:$A$186,"&lt;="&amp;DATE(2026,11,29))</f>
        <v>0</v>
      </c>
      <c r="X34" s="45">
        <f>SUMIFS(Senin!$H$7:$H$146,Senin!$C$7:$C$146,$B34,Senin!$A$7:$A$146,"&gt;="&amp;DATE(2026,11,30),Senin!$A$7:$A$146,"&lt;="&amp;DATE(2026,12,6))+SUMIFS(Selasa!$H$7:$H$166,Selasa!$C$7:$C$166,$B34,Selasa!$A$7:$A$166,"&gt;="&amp;DATE(2026,11,30),Selasa!$A$7:$A$166,"&lt;="&amp;DATE(2026,12,6))+SUMIFS(Rabu!$H$7:$H$206,Rabu!$C$7:$C$206,$B34,Rabu!$A$7:$A$206,"&gt;="&amp;DATE(2026,11,30),Rabu!$A$7:$A$206,"&lt;="&amp;DATE(2026,12,6))+SUMIFS(Kamis!$H$7:$H$186,Kamis!$C$7:$C$186,$B34,Kamis!$A$7:$A$186,"&gt;="&amp;DATE(2026,11,30),Kamis!$A$7:$A$186,"&lt;="&amp;DATE(2026,12,6))+SUMIFS(Jumat!$H$7:$H$186,Jumat!$C$7:$C$186,$B34,Jumat!$A$7:$A$186,"&gt;="&amp;DATE(2026,11,30),Jumat!$A$7:$A$186,"&lt;="&amp;DATE(2026,12,6))</f>
        <v>0</v>
      </c>
      <c r="Y34" s="45">
        <f>SUMIFS(Senin!$H$7:$H$146,Senin!$C$7:$C$146,$B34,Senin!$A$7:$A$146,"&gt;="&amp;DATE(2026,12,7),Senin!$A$7:$A$146,"&lt;="&amp;DATE(2026,12,13))+SUMIFS(Selasa!$H$7:$H$166,Selasa!$C$7:$C$166,$B34,Selasa!$A$7:$A$166,"&gt;="&amp;DATE(2026,12,7),Selasa!$A$7:$A$166,"&lt;="&amp;DATE(2026,12,13))+SUMIFS(Rabu!$H$7:$H$206,Rabu!$C$7:$C$206,$B34,Rabu!$A$7:$A$206,"&gt;="&amp;DATE(2026,12,7),Rabu!$A$7:$A$206,"&lt;="&amp;DATE(2026,12,13))+SUMIFS(Kamis!$H$7:$H$186,Kamis!$C$7:$C$186,$B34,Kamis!$A$7:$A$186,"&gt;="&amp;DATE(2026,12,7),Kamis!$A$7:$A$186,"&lt;="&amp;DATE(2026,12,13))+SUMIFS(Jumat!$H$7:$H$186,Jumat!$C$7:$C$186,$B34,Jumat!$A$7:$A$186,"&gt;="&amp;DATE(2026,12,7),Jumat!$A$7:$A$186,"&lt;="&amp;DATE(2026,12,13))</f>
        <v>0</v>
      </c>
      <c r="Z34" s="45">
        <f>SUMIFS(Senin!$H$7:$H$146,Senin!$C$7:$C$146,$B34,Senin!$A$7:$A$146,"&gt;="&amp;DATE(2026,12,14),Senin!$A$7:$A$146,"&lt;="&amp;DATE(2026,12,20))+SUMIFS(Selasa!$H$7:$H$166,Selasa!$C$7:$C$166,$B34,Selasa!$A$7:$A$166,"&gt;="&amp;DATE(2026,12,14),Selasa!$A$7:$A$166,"&lt;="&amp;DATE(2026,12,20))+SUMIFS(Rabu!$H$7:$H$206,Rabu!$C$7:$C$206,$B34,Rabu!$A$7:$A$206,"&gt;="&amp;DATE(2026,12,14),Rabu!$A$7:$A$206,"&lt;="&amp;DATE(2026,12,20))+SUMIFS(Kamis!$H$7:$H$186,Kamis!$C$7:$C$186,$B34,Kamis!$A$7:$A$186,"&gt;="&amp;DATE(2026,12,14),Kamis!$A$7:$A$186,"&lt;="&amp;DATE(2026,12,20))+SUMIFS(Jumat!$H$7:$H$186,Jumat!$C$7:$C$186,$B34,Jumat!$A$7:$A$186,"&gt;="&amp;DATE(2026,12,14),Jumat!$A$7:$A$186,"&lt;="&amp;DATE(2026,12,20))</f>
        <v>0</v>
      </c>
      <c r="AA34" s="45">
        <f>SUMIFS(Senin!$H$7:$H$146,Senin!$C$7:$C$146,$B34,Senin!$A$7:$A$146,"&gt;="&amp;DATE(2026,12,21),Senin!$A$7:$A$146,"&lt;="&amp;DATE(2026,12,27))+SUMIFS(Selasa!$H$7:$H$166,Selasa!$C$7:$C$166,$B34,Selasa!$A$7:$A$166,"&gt;="&amp;DATE(2026,12,21),Selasa!$A$7:$A$166,"&lt;="&amp;DATE(2026,12,27))+SUMIFS(Rabu!$H$7:$H$206,Rabu!$C$7:$C$206,$B34,Rabu!$A$7:$A$206,"&gt;="&amp;DATE(2026,12,21),Rabu!$A$7:$A$206,"&lt;="&amp;DATE(2026,12,27))+SUMIFS(Kamis!$H$7:$H$186,Kamis!$C$7:$C$186,$B34,Kamis!$A$7:$A$186,"&gt;="&amp;DATE(2026,12,21),Kamis!$A$7:$A$186,"&lt;="&amp;DATE(2026,12,27))+SUMIFS(Jumat!$H$7:$H$186,Jumat!$C$7:$C$186,$B34,Jumat!$A$7:$A$186,"&gt;="&amp;DATE(2026,12,21),Jumat!$A$7:$A$186,"&lt;="&amp;DATE(2026,12,27))</f>
        <v>0</v>
      </c>
      <c r="AB34" s="45">
        <f>SUMIFS(Senin!$H$7:$H$146,Senin!$C$7:$C$146,$B34,Senin!$A$7:$A$146,"&gt;="&amp;DATE(2026,12,28),Senin!$A$7:$A$146,"&lt;="&amp;DATE(2027,1,3))+SUMIFS(Selasa!$H$7:$H$166,Selasa!$C$7:$C$166,$B34,Selasa!$A$7:$A$166,"&gt;="&amp;DATE(2026,12,28),Selasa!$A$7:$A$166,"&lt;="&amp;DATE(2027,1,3))+SUMIFS(Rabu!$H$7:$H$206,Rabu!$C$7:$C$206,$B34,Rabu!$A$7:$A$206,"&gt;="&amp;DATE(2026,12,28),Rabu!$A$7:$A$206,"&lt;="&amp;DATE(2027,1,3))+SUMIFS(Kamis!$H$7:$H$186,Kamis!$C$7:$C$186,$B34,Kamis!$A$7:$A$186,"&gt;="&amp;DATE(2026,12,28),Kamis!$A$7:$A$186,"&lt;="&amp;DATE(2027,1,3))+SUMIFS(Jumat!$H$7:$H$186,Jumat!$C$7:$C$186,$B34,Jumat!$A$7:$A$186,"&gt;="&amp;DATE(2026,12,28),Jumat!$A$7:$A$186,"&lt;="&amp;DATE(2027,1,3))</f>
        <v>0</v>
      </c>
      <c r="AC34" s="45">
        <f>SUMIFS(Senin!$H$7:$H$146,Senin!$C$7:$C$146,$B34,Senin!$A$7:$A$146,"&gt;="&amp;DATE(2027,1,4),Senin!$A$7:$A$146,"&lt;="&amp;DATE(2027,1,10))+SUMIFS(Selasa!$H$7:$H$166,Selasa!$C$7:$C$166,$B34,Selasa!$A$7:$A$166,"&gt;="&amp;DATE(2027,1,4),Selasa!$A$7:$A$166,"&lt;="&amp;DATE(2027,1,10))+SUMIFS(Rabu!$H$7:$H$206,Rabu!$C$7:$C$206,$B34,Rabu!$A$7:$A$206,"&gt;="&amp;DATE(2027,1,4),Rabu!$A$7:$A$206,"&lt;="&amp;DATE(2027,1,10))+SUMIFS(Kamis!$H$7:$H$186,Kamis!$C$7:$C$186,$B34,Kamis!$A$7:$A$186,"&gt;="&amp;DATE(2027,1,4),Kamis!$A$7:$A$186,"&lt;="&amp;DATE(2027,1,10))+SUMIFS(Jumat!$H$7:$H$186,Jumat!$C$7:$C$186,$B34,Jumat!$A$7:$A$186,"&gt;="&amp;DATE(2027,1,4),Jumat!$A$7:$A$186,"&lt;="&amp;DATE(2027,1,10))</f>
        <v>0</v>
      </c>
      <c r="AD34" s="45">
        <f>SUMIFS(Senin!$H$7:$H$146,Senin!$C$7:$C$146,$B34,Senin!$A$7:$A$146,"&gt;="&amp;DATE(2027,1,11),Senin!$A$7:$A$146,"&lt;="&amp;DATE(2027,1,17))+SUMIFS(Selasa!$H$7:$H$166,Selasa!$C$7:$C$166,$B34,Selasa!$A$7:$A$166,"&gt;="&amp;DATE(2027,1,11),Selasa!$A$7:$A$166,"&lt;="&amp;DATE(2027,1,17))+SUMIFS(Rabu!$H$7:$H$206,Rabu!$C$7:$C$206,$B34,Rabu!$A$7:$A$206,"&gt;="&amp;DATE(2027,1,11),Rabu!$A$7:$A$206,"&lt;="&amp;DATE(2027,1,17))+SUMIFS(Kamis!$H$7:$H$186,Kamis!$C$7:$C$186,$B34,Kamis!$A$7:$A$186,"&gt;="&amp;DATE(2027,1,11),Kamis!$A$7:$A$186,"&lt;="&amp;DATE(2027,1,17))+SUMIFS(Jumat!$H$7:$H$186,Jumat!$C$7:$C$186,$B34,Jumat!$A$7:$A$186,"&gt;="&amp;DATE(2027,1,11),Jumat!$A$7:$A$186,"&lt;="&amp;DATE(2027,1,17))</f>
        <v>0</v>
      </c>
    </row>
    <row r="35" ht="15.75" customHeight="1">
      <c r="A35" s="62">
        <v>32.0</v>
      </c>
      <c r="B35" s="26" t="s">
        <v>24</v>
      </c>
      <c r="C35" s="41">
        <f>COUNTIFS(Senin!$C$7:$C$146,$B35,Senin!$G$7:$G$146,"Ya",Senin!$E$7:$E$146,"&lt;&gt;")+COUNTIFS(Selasa!$C$7:$C$166,$B35,Selasa!$G$7:$G$166,"Ya",Selasa!$E$7:$E$166,"&lt;&gt;")+COUNTIFS(Rabu!$C$7:$C$206,$B35,Rabu!$G$7:$G$206,"Ya",Rabu!$E$7:$E$206,"&lt;&gt;")+COUNTIFS(Kamis!$C$7:$C$186,$B35,Kamis!$G$7:$G$186,"Ya",Kamis!$E$7:$E$186,"&lt;&gt;")+COUNTIFS(Jumat!$C$7:$C$186,$B35,Jumat!$G$7:$G$186,"Ya",Jumat!$E$7:$E$186,"&lt;&gt;")</f>
        <v>0</v>
      </c>
      <c r="D35" s="41">
        <f>COUNTIFS(Senin!$C$7:$C$146,$B35,Senin!$G$7:$G$146,"Ya",Senin!$E$7:$E$146,"")+COUNTIFS(Selasa!$C$7:$C$166,$B35,Selasa!$G$7:$G$166,"Ya",Selasa!$E$7:$E$166,"")+COUNTIFS(Rabu!$C$7:$C$206,$B35,Rabu!$G$7:$G$206,"Ya",Rabu!$E$7:$E$206,"")+COUNTIFS(Kamis!$C$7:$C$186,$B35,Kamis!$G$7:$G$186,"Ya",Kamis!$E$7:$E$186,"")+COUNTIFS(Jumat!$C$7:$C$186,$B35,Jumat!$G$7:$G$186,"Ya",Jumat!$E$7:$E$186,"")</f>
        <v>0</v>
      </c>
      <c r="E35" s="45">
        <f>SUMIFS(Senin!$H$7:$H$146,Senin!$C$7:$C$146,$B35,Senin!$A$7:$A$146,"&gt;="&amp;DATE(2026,8,1),Senin!$A$7:$A$146,"&lt;="&amp;DATE(2026,12,31))+SUMIFS(Selasa!$H$7:$H$166,Selasa!$C$7:$C$166,$B35,Selasa!$A$7:$A$166,"&gt;="&amp;DATE(2026,8,1),Selasa!$A$7:$A$166,"&lt;="&amp;DATE(2026,12,31))+SUMIFS(Rabu!$H$7:$H$206,Rabu!$C$7:$C$206,$B35,Rabu!$A$7:$A$206,"&gt;="&amp;DATE(2026,8,1),Rabu!$A$7:$A$206,"&lt;="&amp;DATE(2026,12,31))+SUMIFS(Kamis!$H$7:$H$186,Kamis!$C$7:$C$186,$B35,Kamis!$A$7:$A$186,"&gt;="&amp;DATE(2026,8,1),Kamis!$A$7:$A$186,"&lt;="&amp;DATE(2026,12,31))+SUMIFS(Jumat!$H$7:$H$186,Jumat!$C$7:$C$186,$B35,Jumat!$A$7:$A$186,"&gt;="&amp;DATE(2026,8,1),Jumat!$A$7:$A$186,"&lt;="&amp;DATE(2026,12,31))</f>
        <v>0</v>
      </c>
      <c r="F35" s="45">
        <f>SUMIFS(Senin!$H$7:$H$146,Senin!$C$7:$C$146,$B35,Senin!$A$7:$A$146,"&gt;="&amp;DATE(2026,8,1),Senin!$A$7:$A$146,"&lt;="&amp;DATE(2026,8,31))+SUMIFS(Selasa!$H$7:$H$166,Selasa!$C$7:$C$166,$B35,Selasa!$A$7:$A$166,"&gt;="&amp;DATE(2026,8,1),Selasa!$A$7:$A$166,"&lt;="&amp;DATE(2026,8,31))+SUMIFS(Rabu!$H$7:$H$206,Rabu!$C$7:$C$206,$B35,Rabu!$A$7:$A$206,"&gt;="&amp;DATE(2026,8,1),Rabu!$A$7:$A$206,"&lt;="&amp;DATE(2026,8,31))+SUMIFS(Kamis!$H$7:$H$186,Kamis!$C$7:$C$186,$B35,Kamis!$A$7:$A$186,"&gt;="&amp;DATE(2026,8,1),Kamis!$A$7:$A$186,"&lt;="&amp;DATE(2026,8,31))+SUMIFS(Jumat!$H$7:$H$186,Jumat!$C$7:$C$186,$B35,Jumat!$A$7:$A$186,"&gt;="&amp;DATE(2026,8,1),Jumat!$A$7:$A$186,"&lt;="&amp;DATE(2026,8,31))</f>
        <v>0</v>
      </c>
      <c r="G35" s="45">
        <f>SUMIFS(Senin!$H$7:$H$146,Senin!$C$7:$C$146,$B35,Senin!$A$7:$A$146,"&gt;="&amp;DATE(2026,9,1),Senin!$A$7:$A$146,"&lt;="&amp;DATE(2026,9,30))+SUMIFS(Selasa!$H$7:$H$166,Selasa!$C$7:$C$166,$B35,Selasa!$A$7:$A$166,"&gt;="&amp;DATE(2026,9,1),Selasa!$A$7:$A$166,"&lt;="&amp;DATE(2026,9,30))+SUMIFS(Rabu!$H$7:$H$206,Rabu!$C$7:$C$206,$B35,Rabu!$A$7:$A$206,"&gt;="&amp;DATE(2026,9,1),Rabu!$A$7:$A$206,"&lt;="&amp;DATE(2026,9,30))+SUMIFS(Kamis!$H$7:$H$186,Kamis!$C$7:$C$186,$B35,Kamis!$A$7:$A$186,"&gt;="&amp;DATE(2026,9,1),Kamis!$A$7:$A$186,"&lt;="&amp;DATE(2026,9,30))+SUMIFS(Jumat!$H$7:$H$186,Jumat!$C$7:$C$186,$B35,Jumat!$A$7:$A$186,"&gt;="&amp;DATE(2026,9,1),Jumat!$A$7:$A$186,"&lt;="&amp;DATE(2026,9,30))</f>
        <v>0</v>
      </c>
      <c r="H35" s="45">
        <f>SUMIFS(Senin!$H$7:$H$146,Senin!$C$7:$C$146,$B35,Senin!$A$7:$A$146,"&gt;="&amp;DATE(2026,10,1),Senin!$A$7:$A$146,"&lt;="&amp;DATE(2026,10,31))+SUMIFS(Selasa!$H$7:$H$166,Selasa!$C$7:$C$166,$B35,Selasa!$A$7:$A$166,"&gt;="&amp;DATE(2026,10,1),Selasa!$A$7:$A$166,"&lt;="&amp;DATE(2026,10,31))+SUMIFS(Rabu!$H$7:$H$206,Rabu!$C$7:$C$206,$B35,Rabu!$A$7:$A$206,"&gt;="&amp;DATE(2026,10,1),Rabu!$A$7:$A$206,"&lt;="&amp;DATE(2026,10,31))+SUMIFS(Kamis!$H$7:$H$186,Kamis!$C$7:$C$186,$B35,Kamis!$A$7:$A$186,"&gt;="&amp;DATE(2026,10,1),Kamis!$A$7:$A$186,"&lt;="&amp;DATE(2026,10,31))+SUMIFS(Jumat!$H$7:$H$186,Jumat!$C$7:$C$186,$B35,Jumat!$A$7:$A$186,"&gt;="&amp;DATE(2026,10,1),Jumat!$A$7:$A$186,"&lt;="&amp;DATE(2026,10,31))</f>
        <v>0</v>
      </c>
      <c r="I35" s="45">
        <f>SUMIFS(Senin!$H$7:$H$146,Senin!$C$7:$C$146,$B35,Senin!$A$7:$A$146,"&gt;="&amp;DATE(2026,11,1),Senin!$A$7:$A$146,"&lt;="&amp;DATE(2026,11,30))+SUMIFS(Selasa!$H$7:$H$166,Selasa!$C$7:$C$166,$B35,Selasa!$A$7:$A$166,"&gt;="&amp;DATE(2026,11,1),Selasa!$A$7:$A$166,"&lt;="&amp;DATE(2026,11,30))+SUMIFS(Rabu!$H$7:$H$206,Rabu!$C$7:$C$206,$B35,Rabu!$A$7:$A$206,"&gt;="&amp;DATE(2026,11,1),Rabu!$A$7:$A$206,"&lt;="&amp;DATE(2026,11,30))+SUMIFS(Kamis!$H$7:$H$186,Kamis!$C$7:$C$186,$B35,Kamis!$A$7:$A$186,"&gt;="&amp;DATE(2026,11,1),Kamis!$A$7:$A$186,"&lt;="&amp;DATE(2026,11,30))+SUMIFS(Jumat!$H$7:$H$186,Jumat!$C$7:$C$186,$B35,Jumat!$A$7:$A$186,"&gt;="&amp;DATE(2026,11,1),Jumat!$A$7:$A$186,"&lt;="&amp;DATE(2026,11,30))</f>
        <v>0</v>
      </c>
      <c r="J35" s="45">
        <f>SUMIFS(Senin!$H$7:$H$146,Senin!$C$7:$C$146,$B35,Senin!$A$7:$A$146,"&gt;="&amp;DATE(2026,12,1),Senin!$A$7:$A$146,"&lt;="&amp;DATE(2026,12,31))+SUMIFS(Selasa!$H$7:$H$166,Selasa!$C$7:$C$166,$B35,Selasa!$A$7:$A$166,"&gt;="&amp;DATE(2026,12,1),Selasa!$A$7:$A$166,"&lt;="&amp;DATE(2026,12,31))+SUMIFS(Rabu!$H$7:$H$206,Rabu!$C$7:$C$206,$B35,Rabu!$A$7:$A$206,"&gt;="&amp;DATE(2026,12,1),Rabu!$A$7:$A$206,"&lt;="&amp;DATE(2026,12,31))+SUMIFS(Kamis!$H$7:$H$186,Kamis!$C$7:$C$186,$B35,Kamis!$A$7:$A$186,"&gt;="&amp;DATE(2026,12,1),Kamis!$A$7:$A$186,"&lt;="&amp;DATE(2026,12,31))+SUMIFS(Jumat!$H$7:$H$186,Jumat!$C$7:$C$186,$B35,Jumat!$A$7:$A$186,"&gt;="&amp;DATE(2026,12,1),Jumat!$A$7:$A$186,"&lt;="&amp;DATE(2026,12,31))</f>
        <v>0</v>
      </c>
      <c r="K35" s="45">
        <f>SUMIFS(Senin!$H$7:$H$146,Senin!$C$7:$C$146,$B35,Senin!$A$7:$A$146,"&gt;="&amp;DATE(2026,8,31),Senin!$A$7:$A$146,"&lt;="&amp;DATE(2026,9,6))+SUMIFS(Selasa!$H$7:$H$166,Selasa!$C$7:$C$166,$B35,Selasa!$A$7:$A$166,"&gt;="&amp;DATE(2026,8,31),Selasa!$A$7:$A$166,"&lt;="&amp;DATE(2026,9,6))+SUMIFS(Rabu!$H$7:$H$206,Rabu!$C$7:$C$206,$B35,Rabu!$A$7:$A$206,"&gt;="&amp;DATE(2026,8,31),Rabu!$A$7:$A$206,"&lt;="&amp;DATE(2026,9,6))+SUMIFS(Kamis!$H$7:$H$186,Kamis!$C$7:$C$186,$B35,Kamis!$A$7:$A$186,"&gt;="&amp;DATE(2026,8,31),Kamis!$A$7:$A$186,"&lt;="&amp;DATE(2026,9,6))+SUMIFS(Jumat!$H$7:$H$186,Jumat!$C$7:$C$186,$B35,Jumat!$A$7:$A$186,"&gt;="&amp;DATE(2026,8,31),Jumat!$A$7:$A$186,"&lt;="&amp;DATE(2026,9,6))</f>
        <v>0</v>
      </c>
      <c r="L35" s="45">
        <f>SUMIFS(Senin!$H$7:$H$146,Senin!$C$7:$C$146,$B35,Senin!$A$7:$A$146,"&gt;="&amp;DATE(2026,9,7),Senin!$A$7:$A$146,"&lt;="&amp;DATE(2026,9,13))+SUMIFS(Selasa!$H$7:$H$166,Selasa!$C$7:$C$166,$B35,Selasa!$A$7:$A$166,"&gt;="&amp;DATE(2026,9,7),Selasa!$A$7:$A$166,"&lt;="&amp;DATE(2026,9,13))+SUMIFS(Rabu!$H$7:$H$206,Rabu!$C$7:$C$206,$B35,Rabu!$A$7:$A$206,"&gt;="&amp;DATE(2026,9,7),Rabu!$A$7:$A$206,"&lt;="&amp;DATE(2026,9,13))+SUMIFS(Kamis!$H$7:$H$186,Kamis!$C$7:$C$186,$B35,Kamis!$A$7:$A$186,"&gt;="&amp;DATE(2026,9,7),Kamis!$A$7:$A$186,"&lt;="&amp;DATE(2026,9,13))+SUMIFS(Jumat!$H$7:$H$186,Jumat!$C$7:$C$186,$B35,Jumat!$A$7:$A$186,"&gt;="&amp;DATE(2026,9,7),Jumat!$A$7:$A$186,"&lt;="&amp;DATE(2026,9,13))</f>
        <v>0</v>
      </c>
      <c r="M35" s="45">
        <f>SUMIFS(Senin!$H$7:$H$146,Senin!$C$7:$C$146,$B35,Senin!$A$7:$A$146,"&gt;="&amp;DATE(2026,9,14),Senin!$A$7:$A$146,"&lt;="&amp;DATE(2026,9,20))+SUMIFS(Selasa!$H$7:$H$166,Selasa!$C$7:$C$166,$B35,Selasa!$A$7:$A$166,"&gt;="&amp;DATE(2026,9,14),Selasa!$A$7:$A$166,"&lt;="&amp;DATE(2026,9,20))+SUMIFS(Rabu!$H$7:$H$206,Rabu!$C$7:$C$206,$B35,Rabu!$A$7:$A$206,"&gt;="&amp;DATE(2026,9,14),Rabu!$A$7:$A$206,"&lt;="&amp;DATE(2026,9,20))+SUMIFS(Kamis!$H$7:$H$186,Kamis!$C$7:$C$186,$B35,Kamis!$A$7:$A$186,"&gt;="&amp;DATE(2026,9,14),Kamis!$A$7:$A$186,"&lt;="&amp;DATE(2026,9,20))+SUMIFS(Jumat!$H$7:$H$186,Jumat!$C$7:$C$186,$B35,Jumat!$A$7:$A$186,"&gt;="&amp;DATE(2026,9,14),Jumat!$A$7:$A$186,"&lt;="&amp;DATE(2026,9,20))</f>
        <v>0</v>
      </c>
      <c r="N35" s="45">
        <f>SUMIFS(Senin!$H$7:$H$146,Senin!$C$7:$C$146,$B35,Senin!$A$7:$A$146,"&gt;="&amp;DATE(2026,9,21),Senin!$A$7:$A$146,"&lt;="&amp;DATE(2026,9,27))+SUMIFS(Selasa!$H$7:$H$166,Selasa!$C$7:$C$166,$B35,Selasa!$A$7:$A$166,"&gt;="&amp;DATE(2026,9,21),Selasa!$A$7:$A$166,"&lt;="&amp;DATE(2026,9,27))+SUMIFS(Rabu!$H$7:$H$206,Rabu!$C$7:$C$206,$B35,Rabu!$A$7:$A$206,"&gt;="&amp;DATE(2026,9,21),Rabu!$A$7:$A$206,"&lt;="&amp;DATE(2026,9,27))+SUMIFS(Kamis!$H$7:$H$186,Kamis!$C$7:$C$186,$B35,Kamis!$A$7:$A$186,"&gt;="&amp;DATE(2026,9,21),Kamis!$A$7:$A$186,"&lt;="&amp;DATE(2026,9,27))+SUMIFS(Jumat!$H$7:$H$186,Jumat!$C$7:$C$186,$B35,Jumat!$A$7:$A$186,"&gt;="&amp;DATE(2026,9,21),Jumat!$A$7:$A$186,"&lt;="&amp;DATE(2026,9,27))</f>
        <v>0</v>
      </c>
      <c r="O35" s="45">
        <f>SUMIFS(Senin!$H$7:$H$146,Senin!$C$7:$C$146,$B35,Senin!$A$7:$A$146,"&gt;="&amp;DATE(2026,9,28),Senin!$A$7:$A$146,"&lt;="&amp;DATE(2026,10,4))+SUMIFS(Selasa!$H$7:$H$166,Selasa!$C$7:$C$166,$B35,Selasa!$A$7:$A$166,"&gt;="&amp;DATE(2026,9,28),Selasa!$A$7:$A$166,"&lt;="&amp;DATE(2026,10,4))+SUMIFS(Rabu!$H$7:$H$206,Rabu!$C$7:$C$206,$B35,Rabu!$A$7:$A$206,"&gt;="&amp;DATE(2026,9,28),Rabu!$A$7:$A$206,"&lt;="&amp;DATE(2026,10,4))+SUMIFS(Kamis!$H$7:$H$186,Kamis!$C$7:$C$186,$B35,Kamis!$A$7:$A$186,"&gt;="&amp;DATE(2026,9,28),Kamis!$A$7:$A$186,"&lt;="&amp;DATE(2026,10,4))+SUMIFS(Jumat!$H$7:$H$186,Jumat!$C$7:$C$186,$B35,Jumat!$A$7:$A$186,"&gt;="&amp;DATE(2026,9,28),Jumat!$A$7:$A$186,"&lt;="&amp;DATE(2026,10,4))</f>
        <v>0</v>
      </c>
      <c r="P35" s="45">
        <f>SUMIFS(Senin!$H$7:$H$146,Senin!$C$7:$C$146,$B35,Senin!$A$7:$A$146,"&gt;="&amp;DATE(2026,10,5),Senin!$A$7:$A$146,"&lt;="&amp;DATE(2026,10,11))+SUMIFS(Selasa!$H$7:$H$166,Selasa!$C$7:$C$166,$B35,Selasa!$A$7:$A$166,"&gt;="&amp;DATE(2026,10,5),Selasa!$A$7:$A$166,"&lt;="&amp;DATE(2026,10,11))+SUMIFS(Rabu!$H$7:$H$206,Rabu!$C$7:$C$206,$B35,Rabu!$A$7:$A$206,"&gt;="&amp;DATE(2026,10,5),Rabu!$A$7:$A$206,"&lt;="&amp;DATE(2026,10,11))+SUMIFS(Kamis!$H$7:$H$186,Kamis!$C$7:$C$186,$B35,Kamis!$A$7:$A$186,"&gt;="&amp;DATE(2026,10,5),Kamis!$A$7:$A$186,"&lt;="&amp;DATE(2026,10,11))+SUMIFS(Jumat!$H$7:$H$186,Jumat!$C$7:$C$186,$B35,Jumat!$A$7:$A$186,"&gt;="&amp;DATE(2026,10,5),Jumat!$A$7:$A$186,"&lt;="&amp;DATE(2026,10,11))</f>
        <v>0</v>
      </c>
      <c r="Q35" s="45">
        <f>SUMIFS(Senin!$H$7:$H$146,Senin!$C$7:$C$146,$B35,Senin!$A$7:$A$146,"&gt;="&amp;DATE(2026,10,12),Senin!$A$7:$A$146,"&lt;="&amp;DATE(2026,10,18))+SUMIFS(Selasa!$H$7:$H$166,Selasa!$C$7:$C$166,$B35,Selasa!$A$7:$A$166,"&gt;="&amp;DATE(2026,10,12),Selasa!$A$7:$A$166,"&lt;="&amp;DATE(2026,10,18))+SUMIFS(Rabu!$H$7:$H$206,Rabu!$C$7:$C$206,$B35,Rabu!$A$7:$A$206,"&gt;="&amp;DATE(2026,10,12),Rabu!$A$7:$A$206,"&lt;="&amp;DATE(2026,10,18))+SUMIFS(Kamis!$H$7:$H$186,Kamis!$C$7:$C$186,$B35,Kamis!$A$7:$A$186,"&gt;="&amp;DATE(2026,10,12),Kamis!$A$7:$A$186,"&lt;="&amp;DATE(2026,10,18))+SUMIFS(Jumat!$H$7:$H$186,Jumat!$C$7:$C$186,$B35,Jumat!$A$7:$A$186,"&gt;="&amp;DATE(2026,10,12),Jumat!$A$7:$A$186,"&lt;="&amp;DATE(2026,10,18))</f>
        <v>0</v>
      </c>
      <c r="R35" s="45">
        <f>SUMIFS(Senin!$H$7:$H$146,Senin!$C$7:$C$146,$B35,Senin!$A$7:$A$146,"&gt;="&amp;DATE(2026,10,19),Senin!$A$7:$A$146,"&lt;="&amp;DATE(2026,10,25))+SUMIFS(Selasa!$H$7:$H$166,Selasa!$C$7:$C$166,$B35,Selasa!$A$7:$A$166,"&gt;="&amp;DATE(2026,10,19),Selasa!$A$7:$A$166,"&lt;="&amp;DATE(2026,10,25))+SUMIFS(Rabu!$H$7:$H$206,Rabu!$C$7:$C$206,$B35,Rabu!$A$7:$A$206,"&gt;="&amp;DATE(2026,10,19),Rabu!$A$7:$A$206,"&lt;="&amp;DATE(2026,10,25))+SUMIFS(Kamis!$H$7:$H$186,Kamis!$C$7:$C$186,$B35,Kamis!$A$7:$A$186,"&gt;="&amp;DATE(2026,10,19),Kamis!$A$7:$A$186,"&lt;="&amp;DATE(2026,10,25))+SUMIFS(Jumat!$H$7:$H$186,Jumat!$C$7:$C$186,$B35,Jumat!$A$7:$A$186,"&gt;="&amp;DATE(2026,10,19),Jumat!$A$7:$A$186,"&lt;="&amp;DATE(2026,10,25))</f>
        <v>0</v>
      </c>
      <c r="S35" s="45">
        <f>SUMIFS(Senin!$H$7:$H$146,Senin!$C$7:$C$146,$B35,Senin!$A$7:$A$146,"&gt;="&amp;DATE(2026,10,26),Senin!$A$7:$A$146,"&lt;="&amp;DATE(2026,11,1))+SUMIFS(Selasa!$H$7:$H$166,Selasa!$C$7:$C$166,$B35,Selasa!$A$7:$A$166,"&gt;="&amp;DATE(2026,10,26),Selasa!$A$7:$A$166,"&lt;="&amp;DATE(2026,11,1))+SUMIFS(Rabu!$H$7:$H$206,Rabu!$C$7:$C$206,$B35,Rabu!$A$7:$A$206,"&gt;="&amp;DATE(2026,10,26),Rabu!$A$7:$A$206,"&lt;="&amp;DATE(2026,11,1))+SUMIFS(Kamis!$H$7:$H$186,Kamis!$C$7:$C$186,$B35,Kamis!$A$7:$A$186,"&gt;="&amp;DATE(2026,10,26),Kamis!$A$7:$A$186,"&lt;="&amp;DATE(2026,11,1))+SUMIFS(Jumat!$H$7:$H$186,Jumat!$C$7:$C$186,$B35,Jumat!$A$7:$A$186,"&gt;="&amp;DATE(2026,10,26),Jumat!$A$7:$A$186,"&lt;="&amp;DATE(2026,11,1))</f>
        <v>0</v>
      </c>
      <c r="T35" s="45">
        <f>SUMIFS(Senin!$H$7:$H$146,Senin!$C$7:$C$146,$B35,Senin!$A$7:$A$146,"&gt;="&amp;DATE(2026,11,2),Senin!$A$7:$A$146,"&lt;="&amp;DATE(2026,11,8))+SUMIFS(Selasa!$H$7:$H$166,Selasa!$C$7:$C$166,$B35,Selasa!$A$7:$A$166,"&gt;="&amp;DATE(2026,11,2),Selasa!$A$7:$A$166,"&lt;="&amp;DATE(2026,11,8))+SUMIFS(Rabu!$H$7:$H$206,Rabu!$C$7:$C$206,$B35,Rabu!$A$7:$A$206,"&gt;="&amp;DATE(2026,11,2),Rabu!$A$7:$A$206,"&lt;="&amp;DATE(2026,11,8))+SUMIFS(Kamis!$H$7:$H$186,Kamis!$C$7:$C$186,$B35,Kamis!$A$7:$A$186,"&gt;="&amp;DATE(2026,11,2),Kamis!$A$7:$A$186,"&lt;="&amp;DATE(2026,11,8))+SUMIFS(Jumat!$H$7:$H$186,Jumat!$C$7:$C$186,$B35,Jumat!$A$7:$A$186,"&gt;="&amp;DATE(2026,11,2),Jumat!$A$7:$A$186,"&lt;="&amp;DATE(2026,11,8))</f>
        <v>0</v>
      </c>
      <c r="U35" s="45">
        <f>SUMIFS(Senin!$H$7:$H$146,Senin!$C$7:$C$146,$B35,Senin!$A$7:$A$146,"&gt;="&amp;DATE(2026,11,9),Senin!$A$7:$A$146,"&lt;="&amp;DATE(2026,11,15))+SUMIFS(Selasa!$H$7:$H$166,Selasa!$C$7:$C$166,$B35,Selasa!$A$7:$A$166,"&gt;="&amp;DATE(2026,11,9),Selasa!$A$7:$A$166,"&lt;="&amp;DATE(2026,11,15))+SUMIFS(Rabu!$H$7:$H$206,Rabu!$C$7:$C$206,$B35,Rabu!$A$7:$A$206,"&gt;="&amp;DATE(2026,11,9),Rabu!$A$7:$A$206,"&lt;="&amp;DATE(2026,11,15))+SUMIFS(Kamis!$H$7:$H$186,Kamis!$C$7:$C$186,$B35,Kamis!$A$7:$A$186,"&gt;="&amp;DATE(2026,11,9),Kamis!$A$7:$A$186,"&lt;="&amp;DATE(2026,11,15))+SUMIFS(Jumat!$H$7:$H$186,Jumat!$C$7:$C$186,$B35,Jumat!$A$7:$A$186,"&gt;="&amp;DATE(2026,11,9),Jumat!$A$7:$A$186,"&lt;="&amp;DATE(2026,11,15))</f>
        <v>0</v>
      </c>
      <c r="V35" s="45">
        <f>SUMIFS(Senin!$H$7:$H$146,Senin!$C$7:$C$146,$B35,Senin!$A$7:$A$146,"&gt;="&amp;DATE(2026,11,16),Senin!$A$7:$A$146,"&lt;="&amp;DATE(2026,11,22))+SUMIFS(Selasa!$H$7:$H$166,Selasa!$C$7:$C$166,$B35,Selasa!$A$7:$A$166,"&gt;="&amp;DATE(2026,11,16),Selasa!$A$7:$A$166,"&lt;="&amp;DATE(2026,11,22))+SUMIFS(Rabu!$H$7:$H$206,Rabu!$C$7:$C$206,$B35,Rabu!$A$7:$A$206,"&gt;="&amp;DATE(2026,11,16),Rabu!$A$7:$A$206,"&lt;="&amp;DATE(2026,11,22))+SUMIFS(Kamis!$H$7:$H$186,Kamis!$C$7:$C$186,$B35,Kamis!$A$7:$A$186,"&gt;="&amp;DATE(2026,11,16),Kamis!$A$7:$A$186,"&lt;="&amp;DATE(2026,11,22))+SUMIFS(Jumat!$H$7:$H$186,Jumat!$C$7:$C$186,$B35,Jumat!$A$7:$A$186,"&gt;="&amp;DATE(2026,11,16),Jumat!$A$7:$A$186,"&lt;="&amp;DATE(2026,11,22))</f>
        <v>0</v>
      </c>
      <c r="W35" s="45">
        <f>SUMIFS(Senin!$H$7:$H$146,Senin!$C$7:$C$146,$B35,Senin!$A$7:$A$146,"&gt;="&amp;DATE(2026,11,23),Senin!$A$7:$A$146,"&lt;="&amp;DATE(2026,11,29))+SUMIFS(Selasa!$H$7:$H$166,Selasa!$C$7:$C$166,$B35,Selasa!$A$7:$A$166,"&gt;="&amp;DATE(2026,11,23),Selasa!$A$7:$A$166,"&lt;="&amp;DATE(2026,11,29))+SUMIFS(Rabu!$H$7:$H$206,Rabu!$C$7:$C$206,$B35,Rabu!$A$7:$A$206,"&gt;="&amp;DATE(2026,11,23),Rabu!$A$7:$A$206,"&lt;="&amp;DATE(2026,11,29))+SUMIFS(Kamis!$H$7:$H$186,Kamis!$C$7:$C$186,$B35,Kamis!$A$7:$A$186,"&gt;="&amp;DATE(2026,11,23),Kamis!$A$7:$A$186,"&lt;="&amp;DATE(2026,11,29))+SUMIFS(Jumat!$H$7:$H$186,Jumat!$C$7:$C$186,$B35,Jumat!$A$7:$A$186,"&gt;="&amp;DATE(2026,11,23),Jumat!$A$7:$A$186,"&lt;="&amp;DATE(2026,11,29))</f>
        <v>0</v>
      </c>
      <c r="X35" s="45">
        <f>SUMIFS(Senin!$H$7:$H$146,Senin!$C$7:$C$146,$B35,Senin!$A$7:$A$146,"&gt;="&amp;DATE(2026,11,30),Senin!$A$7:$A$146,"&lt;="&amp;DATE(2026,12,6))+SUMIFS(Selasa!$H$7:$H$166,Selasa!$C$7:$C$166,$B35,Selasa!$A$7:$A$166,"&gt;="&amp;DATE(2026,11,30),Selasa!$A$7:$A$166,"&lt;="&amp;DATE(2026,12,6))+SUMIFS(Rabu!$H$7:$H$206,Rabu!$C$7:$C$206,$B35,Rabu!$A$7:$A$206,"&gt;="&amp;DATE(2026,11,30),Rabu!$A$7:$A$206,"&lt;="&amp;DATE(2026,12,6))+SUMIFS(Kamis!$H$7:$H$186,Kamis!$C$7:$C$186,$B35,Kamis!$A$7:$A$186,"&gt;="&amp;DATE(2026,11,30),Kamis!$A$7:$A$186,"&lt;="&amp;DATE(2026,12,6))+SUMIFS(Jumat!$H$7:$H$186,Jumat!$C$7:$C$186,$B35,Jumat!$A$7:$A$186,"&gt;="&amp;DATE(2026,11,30),Jumat!$A$7:$A$186,"&lt;="&amp;DATE(2026,12,6))</f>
        <v>0</v>
      </c>
      <c r="Y35" s="45">
        <f>SUMIFS(Senin!$H$7:$H$146,Senin!$C$7:$C$146,$B35,Senin!$A$7:$A$146,"&gt;="&amp;DATE(2026,12,7),Senin!$A$7:$A$146,"&lt;="&amp;DATE(2026,12,13))+SUMIFS(Selasa!$H$7:$H$166,Selasa!$C$7:$C$166,$B35,Selasa!$A$7:$A$166,"&gt;="&amp;DATE(2026,12,7),Selasa!$A$7:$A$166,"&lt;="&amp;DATE(2026,12,13))+SUMIFS(Rabu!$H$7:$H$206,Rabu!$C$7:$C$206,$B35,Rabu!$A$7:$A$206,"&gt;="&amp;DATE(2026,12,7),Rabu!$A$7:$A$206,"&lt;="&amp;DATE(2026,12,13))+SUMIFS(Kamis!$H$7:$H$186,Kamis!$C$7:$C$186,$B35,Kamis!$A$7:$A$186,"&gt;="&amp;DATE(2026,12,7),Kamis!$A$7:$A$186,"&lt;="&amp;DATE(2026,12,13))+SUMIFS(Jumat!$H$7:$H$186,Jumat!$C$7:$C$186,$B35,Jumat!$A$7:$A$186,"&gt;="&amp;DATE(2026,12,7),Jumat!$A$7:$A$186,"&lt;="&amp;DATE(2026,12,13))</f>
        <v>0</v>
      </c>
      <c r="Z35" s="45">
        <f>SUMIFS(Senin!$H$7:$H$146,Senin!$C$7:$C$146,$B35,Senin!$A$7:$A$146,"&gt;="&amp;DATE(2026,12,14),Senin!$A$7:$A$146,"&lt;="&amp;DATE(2026,12,20))+SUMIFS(Selasa!$H$7:$H$166,Selasa!$C$7:$C$166,$B35,Selasa!$A$7:$A$166,"&gt;="&amp;DATE(2026,12,14),Selasa!$A$7:$A$166,"&lt;="&amp;DATE(2026,12,20))+SUMIFS(Rabu!$H$7:$H$206,Rabu!$C$7:$C$206,$B35,Rabu!$A$7:$A$206,"&gt;="&amp;DATE(2026,12,14),Rabu!$A$7:$A$206,"&lt;="&amp;DATE(2026,12,20))+SUMIFS(Kamis!$H$7:$H$186,Kamis!$C$7:$C$186,$B35,Kamis!$A$7:$A$186,"&gt;="&amp;DATE(2026,12,14),Kamis!$A$7:$A$186,"&lt;="&amp;DATE(2026,12,20))+SUMIFS(Jumat!$H$7:$H$186,Jumat!$C$7:$C$186,$B35,Jumat!$A$7:$A$186,"&gt;="&amp;DATE(2026,12,14),Jumat!$A$7:$A$186,"&lt;="&amp;DATE(2026,12,20))</f>
        <v>0</v>
      </c>
      <c r="AA35" s="45">
        <f>SUMIFS(Senin!$H$7:$H$146,Senin!$C$7:$C$146,$B35,Senin!$A$7:$A$146,"&gt;="&amp;DATE(2026,12,21),Senin!$A$7:$A$146,"&lt;="&amp;DATE(2026,12,27))+SUMIFS(Selasa!$H$7:$H$166,Selasa!$C$7:$C$166,$B35,Selasa!$A$7:$A$166,"&gt;="&amp;DATE(2026,12,21),Selasa!$A$7:$A$166,"&lt;="&amp;DATE(2026,12,27))+SUMIFS(Rabu!$H$7:$H$206,Rabu!$C$7:$C$206,$B35,Rabu!$A$7:$A$206,"&gt;="&amp;DATE(2026,12,21),Rabu!$A$7:$A$206,"&lt;="&amp;DATE(2026,12,27))+SUMIFS(Kamis!$H$7:$H$186,Kamis!$C$7:$C$186,$B35,Kamis!$A$7:$A$186,"&gt;="&amp;DATE(2026,12,21),Kamis!$A$7:$A$186,"&lt;="&amp;DATE(2026,12,27))+SUMIFS(Jumat!$H$7:$H$186,Jumat!$C$7:$C$186,$B35,Jumat!$A$7:$A$186,"&gt;="&amp;DATE(2026,12,21),Jumat!$A$7:$A$186,"&lt;="&amp;DATE(2026,12,27))</f>
        <v>0</v>
      </c>
      <c r="AB35" s="45">
        <f>SUMIFS(Senin!$H$7:$H$146,Senin!$C$7:$C$146,$B35,Senin!$A$7:$A$146,"&gt;="&amp;DATE(2026,12,28),Senin!$A$7:$A$146,"&lt;="&amp;DATE(2027,1,3))+SUMIFS(Selasa!$H$7:$H$166,Selasa!$C$7:$C$166,$B35,Selasa!$A$7:$A$166,"&gt;="&amp;DATE(2026,12,28),Selasa!$A$7:$A$166,"&lt;="&amp;DATE(2027,1,3))+SUMIFS(Rabu!$H$7:$H$206,Rabu!$C$7:$C$206,$B35,Rabu!$A$7:$A$206,"&gt;="&amp;DATE(2026,12,28),Rabu!$A$7:$A$206,"&lt;="&amp;DATE(2027,1,3))+SUMIFS(Kamis!$H$7:$H$186,Kamis!$C$7:$C$186,$B35,Kamis!$A$7:$A$186,"&gt;="&amp;DATE(2026,12,28),Kamis!$A$7:$A$186,"&lt;="&amp;DATE(2027,1,3))+SUMIFS(Jumat!$H$7:$H$186,Jumat!$C$7:$C$186,$B35,Jumat!$A$7:$A$186,"&gt;="&amp;DATE(2026,12,28),Jumat!$A$7:$A$186,"&lt;="&amp;DATE(2027,1,3))</f>
        <v>0</v>
      </c>
      <c r="AC35" s="45">
        <f>SUMIFS(Senin!$H$7:$H$146,Senin!$C$7:$C$146,$B35,Senin!$A$7:$A$146,"&gt;="&amp;DATE(2027,1,4),Senin!$A$7:$A$146,"&lt;="&amp;DATE(2027,1,10))+SUMIFS(Selasa!$H$7:$H$166,Selasa!$C$7:$C$166,$B35,Selasa!$A$7:$A$166,"&gt;="&amp;DATE(2027,1,4),Selasa!$A$7:$A$166,"&lt;="&amp;DATE(2027,1,10))+SUMIFS(Rabu!$H$7:$H$206,Rabu!$C$7:$C$206,$B35,Rabu!$A$7:$A$206,"&gt;="&amp;DATE(2027,1,4),Rabu!$A$7:$A$206,"&lt;="&amp;DATE(2027,1,10))+SUMIFS(Kamis!$H$7:$H$186,Kamis!$C$7:$C$186,$B35,Kamis!$A$7:$A$186,"&gt;="&amp;DATE(2027,1,4),Kamis!$A$7:$A$186,"&lt;="&amp;DATE(2027,1,10))+SUMIFS(Jumat!$H$7:$H$186,Jumat!$C$7:$C$186,$B35,Jumat!$A$7:$A$186,"&gt;="&amp;DATE(2027,1,4),Jumat!$A$7:$A$186,"&lt;="&amp;DATE(2027,1,10))</f>
        <v>0</v>
      </c>
      <c r="AD35" s="45">
        <f>SUMIFS(Senin!$H$7:$H$146,Senin!$C$7:$C$146,$B35,Senin!$A$7:$A$146,"&gt;="&amp;DATE(2027,1,11),Senin!$A$7:$A$146,"&lt;="&amp;DATE(2027,1,17))+SUMIFS(Selasa!$H$7:$H$166,Selasa!$C$7:$C$166,$B35,Selasa!$A$7:$A$166,"&gt;="&amp;DATE(2027,1,11),Selasa!$A$7:$A$166,"&lt;="&amp;DATE(2027,1,17))+SUMIFS(Rabu!$H$7:$H$206,Rabu!$C$7:$C$206,$B35,Rabu!$A$7:$A$206,"&gt;="&amp;DATE(2027,1,11),Rabu!$A$7:$A$206,"&lt;="&amp;DATE(2027,1,17))+SUMIFS(Kamis!$H$7:$H$186,Kamis!$C$7:$C$186,$B35,Kamis!$A$7:$A$186,"&gt;="&amp;DATE(2027,1,11),Kamis!$A$7:$A$186,"&lt;="&amp;DATE(2027,1,17))+SUMIFS(Jumat!$H$7:$H$186,Jumat!$C$7:$C$186,$B35,Jumat!$A$7:$A$186,"&gt;="&amp;DATE(2027,1,11),Jumat!$A$7:$A$186,"&lt;="&amp;DATE(2027,1,17))</f>
        <v>0</v>
      </c>
    </row>
    <row r="36" ht="15.75" customHeight="1">
      <c r="A36" s="62">
        <v>33.0</v>
      </c>
      <c r="B36" s="26" t="s">
        <v>29</v>
      </c>
      <c r="C36" s="41">
        <f>COUNTIFS(Senin!$C$7:$C$146,$B36,Senin!$G$7:$G$146,"Ya",Senin!$E$7:$E$146,"&lt;&gt;")+COUNTIFS(Selasa!$C$7:$C$166,$B36,Selasa!$G$7:$G$166,"Ya",Selasa!$E$7:$E$166,"&lt;&gt;")+COUNTIFS(Rabu!$C$7:$C$206,$B36,Rabu!$G$7:$G$206,"Ya",Rabu!$E$7:$E$206,"&lt;&gt;")+COUNTIFS(Kamis!$C$7:$C$186,$B36,Kamis!$G$7:$G$186,"Ya",Kamis!$E$7:$E$186,"&lt;&gt;")+COUNTIFS(Jumat!$C$7:$C$186,$B36,Jumat!$G$7:$G$186,"Ya",Jumat!$E$7:$E$186,"&lt;&gt;")</f>
        <v>0</v>
      </c>
      <c r="D36" s="41">
        <f>COUNTIFS(Senin!$C$7:$C$146,$B36,Senin!$G$7:$G$146,"Ya",Senin!$E$7:$E$146,"")+COUNTIFS(Selasa!$C$7:$C$166,$B36,Selasa!$G$7:$G$166,"Ya",Selasa!$E$7:$E$166,"")+COUNTIFS(Rabu!$C$7:$C$206,$B36,Rabu!$G$7:$G$206,"Ya",Rabu!$E$7:$E$206,"")+COUNTIFS(Kamis!$C$7:$C$186,$B36,Kamis!$G$7:$G$186,"Ya",Kamis!$E$7:$E$186,"")+COUNTIFS(Jumat!$C$7:$C$186,$B36,Jumat!$G$7:$G$186,"Ya",Jumat!$E$7:$E$186,"")</f>
        <v>0</v>
      </c>
      <c r="E36" s="45">
        <f>SUMIFS(Senin!$H$7:$H$146,Senin!$C$7:$C$146,$B36,Senin!$A$7:$A$146,"&gt;="&amp;DATE(2026,8,1),Senin!$A$7:$A$146,"&lt;="&amp;DATE(2026,12,31))+SUMIFS(Selasa!$H$7:$H$166,Selasa!$C$7:$C$166,$B36,Selasa!$A$7:$A$166,"&gt;="&amp;DATE(2026,8,1),Selasa!$A$7:$A$166,"&lt;="&amp;DATE(2026,12,31))+SUMIFS(Rabu!$H$7:$H$206,Rabu!$C$7:$C$206,$B36,Rabu!$A$7:$A$206,"&gt;="&amp;DATE(2026,8,1),Rabu!$A$7:$A$206,"&lt;="&amp;DATE(2026,12,31))+SUMIFS(Kamis!$H$7:$H$186,Kamis!$C$7:$C$186,$B36,Kamis!$A$7:$A$186,"&gt;="&amp;DATE(2026,8,1),Kamis!$A$7:$A$186,"&lt;="&amp;DATE(2026,12,31))+SUMIFS(Jumat!$H$7:$H$186,Jumat!$C$7:$C$186,$B36,Jumat!$A$7:$A$186,"&gt;="&amp;DATE(2026,8,1),Jumat!$A$7:$A$186,"&lt;="&amp;DATE(2026,12,31))</f>
        <v>0</v>
      </c>
      <c r="F36" s="45">
        <f>SUMIFS(Senin!$H$7:$H$146,Senin!$C$7:$C$146,$B36,Senin!$A$7:$A$146,"&gt;="&amp;DATE(2026,8,1),Senin!$A$7:$A$146,"&lt;="&amp;DATE(2026,8,31))+SUMIFS(Selasa!$H$7:$H$166,Selasa!$C$7:$C$166,$B36,Selasa!$A$7:$A$166,"&gt;="&amp;DATE(2026,8,1),Selasa!$A$7:$A$166,"&lt;="&amp;DATE(2026,8,31))+SUMIFS(Rabu!$H$7:$H$206,Rabu!$C$7:$C$206,$B36,Rabu!$A$7:$A$206,"&gt;="&amp;DATE(2026,8,1),Rabu!$A$7:$A$206,"&lt;="&amp;DATE(2026,8,31))+SUMIFS(Kamis!$H$7:$H$186,Kamis!$C$7:$C$186,$B36,Kamis!$A$7:$A$186,"&gt;="&amp;DATE(2026,8,1),Kamis!$A$7:$A$186,"&lt;="&amp;DATE(2026,8,31))+SUMIFS(Jumat!$H$7:$H$186,Jumat!$C$7:$C$186,$B36,Jumat!$A$7:$A$186,"&gt;="&amp;DATE(2026,8,1),Jumat!$A$7:$A$186,"&lt;="&amp;DATE(2026,8,31))</f>
        <v>0</v>
      </c>
      <c r="G36" s="45">
        <f>SUMIFS(Senin!$H$7:$H$146,Senin!$C$7:$C$146,$B36,Senin!$A$7:$A$146,"&gt;="&amp;DATE(2026,9,1),Senin!$A$7:$A$146,"&lt;="&amp;DATE(2026,9,30))+SUMIFS(Selasa!$H$7:$H$166,Selasa!$C$7:$C$166,$B36,Selasa!$A$7:$A$166,"&gt;="&amp;DATE(2026,9,1),Selasa!$A$7:$A$166,"&lt;="&amp;DATE(2026,9,30))+SUMIFS(Rabu!$H$7:$H$206,Rabu!$C$7:$C$206,$B36,Rabu!$A$7:$A$206,"&gt;="&amp;DATE(2026,9,1),Rabu!$A$7:$A$206,"&lt;="&amp;DATE(2026,9,30))+SUMIFS(Kamis!$H$7:$H$186,Kamis!$C$7:$C$186,$B36,Kamis!$A$7:$A$186,"&gt;="&amp;DATE(2026,9,1),Kamis!$A$7:$A$186,"&lt;="&amp;DATE(2026,9,30))+SUMIFS(Jumat!$H$7:$H$186,Jumat!$C$7:$C$186,$B36,Jumat!$A$7:$A$186,"&gt;="&amp;DATE(2026,9,1),Jumat!$A$7:$A$186,"&lt;="&amp;DATE(2026,9,30))</f>
        <v>0</v>
      </c>
      <c r="H36" s="45">
        <f>SUMIFS(Senin!$H$7:$H$146,Senin!$C$7:$C$146,$B36,Senin!$A$7:$A$146,"&gt;="&amp;DATE(2026,10,1),Senin!$A$7:$A$146,"&lt;="&amp;DATE(2026,10,31))+SUMIFS(Selasa!$H$7:$H$166,Selasa!$C$7:$C$166,$B36,Selasa!$A$7:$A$166,"&gt;="&amp;DATE(2026,10,1),Selasa!$A$7:$A$166,"&lt;="&amp;DATE(2026,10,31))+SUMIFS(Rabu!$H$7:$H$206,Rabu!$C$7:$C$206,$B36,Rabu!$A$7:$A$206,"&gt;="&amp;DATE(2026,10,1),Rabu!$A$7:$A$206,"&lt;="&amp;DATE(2026,10,31))+SUMIFS(Kamis!$H$7:$H$186,Kamis!$C$7:$C$186,$B36,Kamis!$A$7:$A$186,"&gt;="&amp;DATE(2026,10,1),Kamis!$A$7:$A$186,"&lt;="&amp;DATE(2026,10,31))+SUMIFS(Jumat!$H$7:$H$186,Jumat!$C$7:$C$186,$B36,Jumat!$A$7:$A$186,"&gt;="&amp;DATE(2026,10,1),Jumat!$A$7:$A$186,"&lt;="&amp;DATE(2026,10,31))</f>
        <v>0</v>
      </c>
      <c r="I36" s="45">
        <f>SUMIFS(Senin!$H$7:$H$146,Senin!$C$7:$C$146,$B36,Senin!$A$7:$A$146,"&gt;="&amp;DATE(2026,11,1),Senin!$A$7:$A$146,"&lt;="&amp;DATE(2026,11,30))+SUMIFS(Selasa!$H$7:$H$166,Selasa!$C$7:$C$166,$B36,Selasa!$A$7:$A$166,"&gt;="&amp;DATE(2026,11,1),Selasa!$A$7:$A$166,"&lt;="&amp;DATE(2026,11,30))+SUMIFS(Rabu!$H$7:$H$206,Rabu!$C$7:$C$206,$B36,Rabu!$A$7:$A$206,"&gt;="&amp;DATE(2026,11,1),Rabu!$A$7:$A$206,"&lt;="&amp;DATE(2026,11,30))+SUMIFS(Kamis!$H$7:$H$186,Kamis!$C$7:$C$186,$B36,Kamis!$A$7:$A$186,"&gt;="&amp;DATE(2026,11,1),Kamis!$A$7:$A$186,"&lt;="&amp;DATE(2026,11,30))+SUMIFS(Jumat!$H$7:$H$186,Jumat!$C$7:$C$186,$B36,Jumat!$A$7:$A$186,"&gt;="&amp;DATE(2026,11,1),Jumat!$A$7:$A$186,"&lt;="&amp;DATE(2026,11,30))</f>
        <v>0</v>
      </c>
      <c r="J36" s="45">
        <f>SUMIFS(Senin!$H$7:$H$146,Senin!$C$7:$C$146,$B36,Senin!$A$7:$A$146,"&gt;="&amp;DATE(2026,12,1),Senin!$A$7:$A$146,"&lt;="&amp;DATE(2026,12,31))+SUMIFS(Selasa!$H$7:$H$166,Selasa!$C$7:$C$166,$B36,Selasa!$A$7:$A$166,"&gt;="&amp;DATE(2026,12,1),Selasa!$A$7:$A$166,"&lt;="&amp;DATE(2026,12,31))+SUMIFS(Rabu!$H$7:$H$206,Rabu!$C$7:$C$206,$B36,Rabu!$A$7:$A$206,"&gt;="&amp;DATE(2026,12,1),Rabu!$A$7:$A$206,"&lt;="&amp;DATE(2026,12,31))+SUMIFS(Kamis!$H$7:$H$186,Kamis!$C$7:$C$186,$B36,Kamis!$A$7:$A$186,"&gt;="&amp;DATE(2026,12,1),Kamis!$A$7:$A$186,"&lt;="&amp;DATE(2026,12,31))+SUMIFS(Jumat!$H$7:$H$186,Jumat!$C$7:$C$186,$B36,Jumat!$A$7:$A$186,"&gt;="&amp;DATE(2026,12,1),Jumat!$A$7:$A$186,"&lt;="&amp;DATE(2026,12,31))</f>
        <v>0</v>
      </c>
      <c r="K36" s="45">
        <f>SUMIFS(Senin!$H$7:$H$146,Senin!$C$7:$C$146,$B36,Senin!$A$7:$A$146,"&gt;="&amp;DATE(2026,8,31),Senin!$A$7:$A$146,"&lt;="&amp;DATE(2026,9,6))+SUMIFS(Selasa!$H$7:$H$166,Selasa!$C$7:$C$166,$B36,Selasa!$A$7:$A$166,"&gt;="&amp;DATE(2026,8,31),Selasa!$A$7:$A$166,"&lt;="&amp;DATE(2026,9,6))+SUMIFS(Rabu!$H$7:$H$206,Rabu!$C$7:$C$206,$B36,Rabu!$A$7:$A$206,"&gt;="&amp;DATE(2026,8,31),Rabu!$A$7:$A$206,"&lt;="&amp;DATE(2026,9,6))+SUMIFS(Kamis!$H$7:$H$186,Kamis!$C$7:$C$186,$B36,Kamis!$A$7:$A$186,"&gt;="&amp;DATE(2026,8,31),Kamis!$A$7:$A$186,"&lt;="&amp;DATE(2026,9,6))+SUMIFS(Jumat!$H$7:$H$186,Jumat!$C$7:$C$186,$B36,Jumat!$A$7:$A$186,"&gt;="&amp;DATE(2026,8,31),Jumat!$A$7:$A$186,"&lt;="&amp;DATE(2026,9,6))</f>
        <v>0</v>
      </c>
      <c r="L36" s="45">
        <f>SUMIFS(Senin!$H$7:$H$146,Senin!$C$7:$C$146,$B36,Senin!$A$7:$A$146,"&gt;="&amp;DATE(2026,9,7),Senin!$A$7:$A$146,"&lt;="&amp;DATE(2026,9,13))+SUMIFS(Selasa!$H$7:$H$166,Selasa!$C$7:$C$166,$B36,Selasa!$A$7:$A$166,"&gt;="&amp;DATE(2026,9,7),Selasa!$A$7:$A$166,"&lt;="&amp;DATE(2026,9,13))+SUMIFS(Rabu!$H$7:$H$206,Rabu!$C$7:$C$206,$B36,Rabu!$A$7:$A$206,"&gt;="&amp;DATE(2026,9,7),Rabu!$A$7:$A$206,"&lt;="&amp;DATE(2026,9,13))+SUMIFS(Kamis!$H$7:$H$186,Kamis!$C$7:$C$186,$B36,Kamis!$A$7:$A$186,"&gt;="&amp;DATE(2026,9,7),Kamis!$A$7:$A$186,"&lt;="&amp;DATE(2026,9,13))+SUMIFS(Jumat!$H$7:$H$186,Jumat!$C$7:$C$186,$B36,Jumat!$A$7:$A$186,"&gt;="&amp;DATE(2026,9,7),Jumat!$A$7:$A$186,"&lt;="&amp;DATE(2026,9,13))</f>
        <v>0</v>
      </c>
      <c r="M36" s="45">
        <f>SUMIFS(Senin!$H$7:$H$146,Senin!$C$7:$C$146,$B36,Senin!$A$7:$A$146,"&gt;="&amp;DATE(2026,9,14),Senin!$A$7:$A$146,"&lt;="&amp;DATE(2026,9,20))+SUMIFS(Selasa!$H$7:$H$166,Selasa!$C$7:$C$166,$B36,Selasa!$A$7:$A$166,"&gt;="&amp;DATE(2026,9,14),Selasa!$A$7:$A$166,"&lt;="&amp;DATE(2026,9,20))+SUMIFS(Rabu!$H$7:$H$206,Rabu!$C$7:$C$206,$B36,Rabu!$A$7:$A$206,"&gt;="&amp;DATE(2026,9,14),Rabu!$A$7:$A$206,"&lt;="&amp;DATE(2026,9,20))+SUMIFS(Kamis!$H$7:$H$186,Kamis!$C$7:$C$186,$B36,Kamis!$A$7:$A$186,"&gt;="&amp;DATE(2026,9,14),Kamis!$A$7:$A$186,"&lt;="&amp;DATE(2026,9,20))+SUMIFS(Jumat!$H$7:$H$186,Jumat!$C$7:$C$186,$B36,Jumat!$A$7:$A$186,"&gt;="&amp;DATE(2026,9,14),Jumat!$A$7:$A$186,"&lt;="&amp;DATE(2026,9,20))</f>
        <v>0</v>
      </c>
      <c r="N36" s="45">
        <f>SUMIFS(Senin!$H$7:$H$146,Senin!$C$7:$C$146,$B36,Senin!$A$7:$A$146,"&gt;="&amp;DATE(2026,9,21),Senin!$A$7:$A$146,"&lt;="&amp;DATE(2026,9,27))+SUMIFS(Selasa!$H$7:$H$166,Selasa!$C$7:$C$166,$B36,Selasa!$A$7:$A$166,"&gt;="&amp;DATE(2026,9,21),Selasa!$A$7:$A$166,"&lt;="&amp;DATE(2026,9,27))+SUMIFS(Rabu!$H$7:$H$206,Rabu!$C$7:$C$206,$B36,Rabu!$A$7:$A$206,"&gt;="&amp;DATE(2026,9,21),Rabu!$A$7:$A$206,"&lt;="&amp;DATE(2026,9,27))+SUMIFS(Kamis!$H$7:$H$186,Kamis!$C$7:$C$186,$B36,Kamis!$A$7:$A$186,"&gt;="&amp;DATE(2026,9,21),Kamis!$A$7:$A$186,"&lt;="&amp;DATE(2026,9,27))+SUMIFS(Jumat!$H$7:$H$186,Jumat!$C$7:$C$186,$B36,Jumat!$A$7:$A$186,"&gt;="&amp;DATE(2026,9,21),Jumat!$A$7:$A$186,"&lt;="&amp;DATE(2026,9,27))</f>
        <v>0</v>
      </c>
      <c r="O36" s="45">
        <f>SUMIFS(Senin!$H$7:$H$146,Senin!$C$7:$C$146,$B36,Senin!$A$7:$A$146,"&gt;="&amp;DATE(2026,9,28),Senin!$A$7:$A$146,"&lt;="&amp;DATE(2026,10,4))+SUMIFS(Selasa!$H$7:$H$166,Selasa!$C$7:$C$166,$B36,Selasa!$A$7:$A$166,"&gt;="&amp;DATE(2026,9,28),Selasa!$A$7:$A$166,"&lt;="&amp;DATE(2026,10,4))+SUMIFS(Rabu!$H$7:$H$206,Rabu!$C$7:$C$206,$B36,Rabu!$A$7:$A$206,"&gt;="&amp;DATE(2026,9,28),Rabu!$A$7:$A$206,"&lt;="&amp;DATE(2026,10,4))+SUMIFS(Kamis!$H$7:$H$186,Kamis!$C$7:$C$186,$B36,Kamis!$A$7:$A$186,"&gt;="&amp;DATE(2026,9,28),Kamis!$A$7:$A$186,"&lt;="&amp;DATE(2026,10,4))+SUMIFS(Jumat!$H$7:$H$186,Jumat!$C$7:$C$186,$B36,Jumat!$A$7:$A$186,"&gt;="&amp;DATE(2026,9,28),Jumat!$A$7:$A$186,"&lt;="&amp;DATE(2026,10,4))</f>
        <v>0</v>
      </c>
      <c r="P36" s="45">
        <f>SUMIFS(Senin!$H$7:$H$146,Senin!$C$7:$C$146,$B36,Senin!$A$7:$A$146,"&gt;="&amp;DATE(2026,10,5),Senin!$A$7:$A$146,"&lt;="&amp;DATE(2026,10,11))+SUMIFS(Selasa!$H$7:$H$166,Selasa!$C$7:$C$166,$B36,Selasa!$A$7:$A$166,"&gt;="&amp;DATE(2026,10,5),Selasa!$A$7:$A$166,"&lt;="&amp;DATE(2026,10,11))+SUMIFS(Rabu!$H$7:$H$206,Rabu!$C$7:$C$206,$B36,Rabu!$A$7:$A$206,"&gt;="&amp;DATE(2026,10,5),Rabu!$A$7:$A$206,"&lt;="&amp;DATE(2026,10,11))+SUMIFS(Kamis!$H$7:$H$186,Kamis!$C$7:$C$186,$B36,Kamis!$A$7:$A$186,"&gt;="&amp;DATE(2026,10,5),Kamis!$A$7:$A$186,"&lt;="&amp;DATE(2026,10,11))+SUMIFS(Jumat!$H$7:$H$186,Jumat!$C$7:$C$186,$B36,Jumat!$A$7:$A$186,"&gt;="&amp;DATE(2026,10,5),Jumat!$A$7:$A$186,"&lt;="&amp;DATE(2026,10,11))</f>
        <v>0</v>
      </c>
      <c r="Q36" s="45">
        <f>SUMIFS(Senin!$H$7:$H$146,Senin!$C$7:$C$146,$B36,Senin!$A$7:$A$146,"&gt;="&amp;DATE(2026,10,12),Senin!$A$7:$A$146,"&lt;="&amp;DATE(2026,10,18))+SUMIFS(Selasa!$H$7:$H$166,Selasa!$C$7:$C$166,$B36,Selasa!$A$7:$A$166,"&gt;="&amp;DATE(2026,10,12),Selasa!$A$7:$A$166,"&lt;="&amp;DATE(2026,10,18))+SUMIFS(Rabu!$H$7:$H$206,Rabu!$C$7:$C$206,$B36,Rabu!$A$7:$A$206,"&gt;="&amp;DATE(2026,10,12),Rabu!$A$7:$A$206,"&lt;="&amp;DATE(2026,10,18))+SUMIFS(Kamis!$H$7:$H$186,Kamis!$C$7:$C$186,$B36,Kamis!$A$7:$A$186,"&gt;="&amp;DATE(2026,10,12),Kamis!$A$7:$A$186,"&lt;="&amp;DATE(2026,10,18))+SUMIFS(Jumat!$H$7:$H$186,Jumat!$C$7:$C$186,$B36,Jumat!$A$7:$A$186,"&gt;="&amp;DATE(2026,10,12),Jumat!$A$7:$A$186,"&lt;="&amp;DATE(2026,10,18))</f>
        <v>0</v>
      </c>
      <c r="R36" s="45">
        <f>SUMIFS(Senin!$H$7:$H$146,Senin!$C$7:$C$146,$B36,Senin!$A$7:$A$146,"&gt;="&amp;DATE(2026,10,19),Senin!$A$7:$A$146,"&lt;="&amp;DATE(2026,10,25))+SUMIFS(Selasa!$H$7:$H$166,Selasa!$C$7:$C$166,$B36,Selasa!$A$7:$A$166,"&gt;="&amp;DATE(2026,10,19),Selasa!$A$7:$A$166,"&lt;="&amp;DATE(2026,10,25))+SUMIFS(Rabu!$H$7:$H$206,Rabu!$C$7:$C$206,$B36,Rabu!$A$7:$A$206,"&gt;="&amp;DATE(2026,10,19),Rabu!$A$7:$A$206,"&lt;="&amp;DATE(2026,10,25))+SUMIFS(Kamis!$H$7:$H$186,Kamis!$C$7:$C$186,$B36,Kamis!$A$7:$A$186,"&gt;="&amp;DATE(2026,10,19),Kamis!$A$7:$A$186,"&lt;="&amp;DATE(2026,10,25))+SUMIFS(Jumat!$H$7:$H$186,Jumat!$C$7:$C$186,$B36,Jumat!$A$7:$A$186,"&gt;="&amp;DATE(2026,10,19),Jumat!$A$7:$A$186,"&lt;="&amp;DATE(2026,10,25))</f>
        <v>0</v>
      </c>
      <c r="S36" s="45">
        <f>SUMIFS(Senin!$H$7:$H$146,Senin!$C$7:$C$146,$B36,Senin!$A$7:$A$146,"&gt;="&amp;DATE(2026,10,26),Senin!$A$7:$A$146,"&lt;="&amp;DATE(2026,11,1))+SUMIFS(Selasa!$H$7:$H$166,Selasa!$C$7:$C$166,$B36,Selasa!$A$7:$A$166,"&gt;="&amp;DATE(2026,10,26),Selasa!$A$7:$A$166,"&lt;="&amp;DATE(2026,11,1))+SUMIFS(Rabu!$H$7:$H$206,Rabu!$C$7:$C$206,$B36,Rabu!$A$7:$A$206,"&gt;="&amp;DATE(2026,10,26),Rabu!$A$7:$A$206,"&lt;="&amp;DATE(2026,11,1))+SUMIFS(Kamis!$H$7:$H$186,Kamis!$C$7:$C$186,$B36,Kamis!$A$7:$A$186,"&gt;="&amp;DATE(2026,10,26),Kamis!$A$7:$A$186,"&lt;="&amp;DATE(2026,11,1))+SUMIFS(Jumat!$H$7:$H$186,Jumat!$C$7:$C$186,$B36,Jumat!$A$7:$A$186,"&gt;="&amp;DATE(2026,10,26),Jumat!$A$7:$A$186,"&lt;="&amp;DATE(2026,11,1))</f>
        <v>0</v>
      </c>
      <c r="T36" s="45">
        <f>SUMIFS(Senin!$H$7:$H$146,Senin!$C$7:$C$146,$B36,Senin!$A$7:$A$146,"&gt;="&amp;DATE(2026,11,2),Senin!$A$7:$A$146,"&lt;="&amp;DATE(2026,11,8))+SUMIFS(Selasa!$H$7:$H$166,Selasa!$C$7:$C$166,$B36,Selasa!$A$7:$A$166,"&gt;="&amp;DATE(2026,11,2),Selasa!$A$7:$A$166,"&lt;="&amp;DATE(2026,11,8))+SUMIFS(Rabu!$H$7:$H$206,Rabu!$C$7:$C$206,$B36,Rabu!$A$7:$A$206,"&gt;="&amp;DATE(2026,11,2),Rabu!$A$7:$A$206,"&lt;="&amp;DATE(2026,11,8))+SUMIFS(Kamis!$H$7:$H$186,Kamis!$C$7:$C$186,$B36,Kamis!$A$7:$A$186,"&gt;="&amp;DATE(2026,11,2),Kamis!$A$7:$A$186,"&lt;="&amp;DATE(2026,11,8))+SUMIFS(Jumat!$H$7:$H$186,Jumat!$C$7:$C$186,$B36,Jumat!$A$7:$A$186,"&gt;="&amp;DATE(2026,11,2),Jumat!$A$7:$A$186,"&lt;="&amp;DATE(2026,11,8))</f>
        <v>0</v>
      </c>
      <c r="U36" s="45">
        <f>SUMIFS(Senin!$H$7:$H$146,Senin!$C$7:$C$146,$B36,Senin!$A$7:$A$146,"&gt;="&amp;DATE(2026,11,9),Senin!$A$7:$A$146,"&lt;="&amp;DATE(2026,11,15))+SUMIFS(Selasa!$H$7:$H$166,Selasa!$C$7:$C$166,$B36,Selasa!$A$7:$A$166,"&gt;="&amp;DATE(2026,11,9),Selasa!$A$7:$A$166,"&lt;="&amp;DATE(2026,11,15))+SUMIFS(Rabu!$H$7:$H$206,Rabu!$C$7:$C$206,$B36,Rabu!$A$7:$A$206,"&gt;="&amp;DATE(2026,11,9),Rabu!$A$7:$A$206,"&lt;="&amp;DATE(2026,11,15))+SUMIFS(Kamis!$H$7:$H$186,Kamis!$C$7:$C$186,$B36,Kamis!$A$7:$A$186,"&gt;="&amp;DATE(2026,11,9),Kamis!$A$7:$A$186,"&lt;="&amp;DATE(2026,11,15))+SUMIFS(Jumat!$H$7:$H$186,Jumat!$C$7:$C$186,$B36,Jumat!$A$7:$A$186,"&gt;="&amp;DATE(2026,11,9),Jumat!$A$7:$A$186,"&lt;="&amp;DATE(2026,11,15))</f>
        <v>0</v>
      </c>
      <c r="V36" s="45">
        <f>SUMIFS(Senin!$H$7:$H$146,Senin!$C$7:$C$146,$B36,Senin!$A$7:$A$146,"&gt;="&amp;DATE(2026,11,16),Senin!$A$7:$A$146,"&lt;="&amp;DATE(2026,11,22))+SUMIFS(Selasa!$H$7:$H$166,Selasa!$C$7:$C$166,$B36,Selasa!$A$7:$A$166,"&gt;="&amp;DATE(2026,11,16),Selasa!$A$7:$A$166,"&lt;="&amp;DATE(2026,11,22))+SUMIFS(Rabu!$H$7:$H$206,Rabu!$C$7:$C$206,$B36,Rabu!$A$7:$A$206,"&gt;="&amp;DATE(2026,11,16),Rabu!$A$7:$A$206,"&lt;="&amp;DATE(2026,11,22))+SUMIFS(Kamis!$H$7:$H$186,Kamis!$C$7:$C$186,$B36,Kamis!$A$7:$A$186,"&gt;="&amp;DATE(2026,11,16),Kamis!$A$7:$A$186,"&lt;="&amp;DATE(2026,11,22))+SUMIFS(Jumat!$H$7:$H$186,Jumat!$C$7:$C$186,$B36,Jumat!$A$7:$A$186,"&gt;="&amp;DATE(2026,11,16),Jumat!$A$7:$A$186,"&lt;="&amp;DATE(2026,11,22))</f>
        <v>0</v>
      </c>
      <c r="W36" s="45">
        <f>SUMIFS(Senin!$H$7:$H$146,Senin!$C$7:$C$146,$B36,Senin!$A$7:$A$146,"&gt;="&amp;DATE(2026,11,23),Senin!$A$7:$A$146,"&lt;="&amp;DATE(2026,11,29))+SUMIFS(Selasa!$H$7:$H$166,Selasa!$C$7:$C$166,$B36,Selasa!$A$7:$A$166,"&gt;="&amp;DATE(2026,11,23),Selasa!$A$7:$A$166,"&lt;="&amp;DATE(2026,11,29))+SUMIFS(Rabu!$H$7:$H$206,Rabu!$C$7:$C$206,$B36,Rabu!$A$7:$A$206,"&gt;="&amp;DATE(2026,11,23),Rabu!$A$7:$A$206,"&lt;="&amp;DATE(2026,11,29))+SUMIFS(Kamis!$H$7:$H$186,Kamis!$C$7:$C$186,$B36,Kamis!$A$7:$A$186,"&gt;="&amp;DATE(2026,11,23),Kamis!$A$7:$A$186,"&lt;="&amp;DATE(2026,11,29))+SUMIFS(Jumat!$H$7:$H$186,Jumat!$C$7:$C$186,$B36,Jumat!$A$7:$A$186,"&gt;="&amp;DATE(2026,11,23),Jumat!$A$7:$A$186,"&lt;="&amp;DATE(2026,11,29))</f>
        <v>0</v>
      </c>
      <c r="X36" s="45">
        <f>SUMIFS(Senin!$H$7:$H$146,Senin!$C$7:$C$146,$B36,Senin!$A$7:$A$146,"&gt;="&amp;DATE(2026,11,30),Senin!$A$7:$A$146,"&lt;="&amp;DATE(2026,12,6))+SUMIFS(Selasa!$H$7:$H$166,Selasa!$C$7:$C$166,$B36,Selasa!$A$7:$A$166,"&gt;="&amp;DATE(2026,11,30),Selasa!$A$7:$A$166,"&lt;="&amp;DATE(2026,12,6))+SUMIFS(Rabu!$H$7:$H$206,Rabu!$C$7:$C$206,$B36,Rabu!$A$7:$A$206,"&gt;="&amp;DATE(2026,11,30),Rabu!$A$7:$A$206,"&lt;="&amp;DATE(2026,12,6))+SUMIFS(Kamis!$H$7:$H$186,Kamis!$C$7:$C$186,$B36,Kamis!$A$7:$A$186,"&gt;="&amp;DATE(2026,11,30),Kamis!$A$7:$A$186,"&lt;="&amp;DATE(2026,12,6))+SUMIFS(Jumat!$H$7:$H$186,Jumat!$C$7:$C$186,$B36,Jumat!$A$7:$A$186,"&gt;="&amp;DATE(2026,11,30),Jumat!$A$7:$A$186,"&lt;="&amp;DATE(2026,12,6))</f>
        <v>0</v>
      </c>
      <c r="Y36" s="45">
        <f>SUMIFS(Senin!$H$7:$H$146,Senin!$C$7:$C$146,$B36,Senin!$A$7:$A$146,"&gt;="&amp;DATE(2026,12,7),Senin!$A$7:$A$146,"&lt;="&amp;DATE(2026,12,13))+SUMIFS(Selasa!$H$7:$H$166,Selasa!$C$7:$C$166,$B36,Selasa!$A$7:$A$166,"&gt;="&amp;DATE(2026,12,7),Selasa!$A$7:$A$166,"&lt;="&amp;DATE(2026,12,13))+SUMIFS(Rabu!$H$7:$H$206,Rabu!$C$7:$C$206,$B36,Rabu!$A$7:$A$206,"&gt;="&amp;DATE(2026,12,7),Rabu!$A$7:$A$206,"&lt;="&amp;DATE(2026,12,13))+SUMIFS(Kamis!$H$7:$H$186,Kamis!$C$7:$C$186,$B36,Kamis!$A$7:$A$186,"&gt;="&amp;DATE(2026,12,7),Kamis!$A$7:$A$186,"&lt;="&amp;DATE(2026,12,13))+SUMIFS(Jumat!$H$7:$H$186,Jumat!$C$7:$C$186,$B36,Jumat!$A$7:$A$186,"&gt;="&amp;DATE(2026,12,7),Jumat!$A$7:$A$186,"&lt;="&amp;DATE(2026,12,13))</f>
        <v>0</v>
      </c>
      <c r="Z36" s="45">
        <f>SUMIFS(Senin!$H$7:$H$146,Senin!$C$7:$C$146,$B36,Senin!$A$7:$A$146,"&gt;="&amp;DATE(2026,12,14),Senin!$A$7:$A$146,"&lt;="&amp;DATE(2026,12,20))+SUMIFS(Selasa!$H$7:$H$166,Selasa!$C$7:$C$166,$B36,Selasa!$A$7:$A$166,"&gt;="&amp;DATE(2026,12,14),Selasa!$A$7:$A$166,"&lt;="&amp;DATE(2026,12,20))+SUMIFS(Rabu!$H$7:$H$206,Rabu!$C$7:$C$206,$B36,Rabu!$A$7:$A$206,"&gt;="&amp;DATE(2026,12,14),Rabu!$A$7:$A$206,"&lt;="&amp;DATE(2026,12,20))+SUMIFS(Kamis!$H$7:$H$186,Kamis!$C$7:$C$186,$B36,Kamis!$A$7:$A$186,"&gt;="&amp;DATE(2026,12,14),Kamis!$A$7:$A$186,"&lt;="&amp;DATE(2026,12,20))+SUMIFS(Jumat!$H$7:$H$186,Jumat!$C$7:$C$186,$B36,Jumat!$A$7:$A$186,"&gt;="&amp;DATE(2026,12,14),Jumat!$A$7:$A$186,"&lt;="&amp;DATE(2026,12,20))</f>
        <v>0</v>
      </c>
      <c r="AA36" s="45">
        <f>SUMIFS(Senin!$H$7:$H$146,Senin!$C$7:$C$146,$B36,Senin!$A$7:$A$146,"&gt;="&amp;DATE(2026,12,21),Senin!$A$7:$A$146,"&lt;="&amp;DATE(2026,12,27))+SUMIFS(Selasa!$H$7:$H$166,Selasa!$C$7:$C$166,$B36,Selasa!$A$7:$A$166,"&gt;="&amp;DATE(2026,12,21),Selasa!$A$7:$A$166,"&lt;="&amp;DATE(2026,12,27))+SUMIFS(Rabu!$H$7:$H$206,Rabu!$C$7:$C$206,$B36,Rabu!$A$7:$A$206,"&gt;="&amp;DATE(2026,12,21),Rabu!$A$7:$A$206,"&lt;="&amp;DATE(2026,12,27))+SUMIFS(Kamis!$H$7:$H$186,Kamis!$C$7:$C$186,$B36,Kamis!$A$7:$A$186,"&gt;="&amp;DATE(2026,12,21),Kamis!$A$7:$A$186,"&lt;="&amp;DATE(2026,12,27))+SUMIFS(Jumat!$H$7:$H$186,Jumat!$C$7:$C$186,$B36,Jumat!$A$7:$A$186,"&gt;="&amp;DATE(2026,12,21),Jumat!$A$7:$A$186,"&lt;="&amp;DATE(2026,12,27))</f>
        <v>0</v>
      </c>
      <c r="AB36" s="45">
        <f>SUMIFS(Senin!$H$7:$H$146,Senin!$C$7:$C$146,$B36,Senin!$A$7:$A$146,"&gt;="&amp;DATE(2026,12,28),Senin!$A$7:$A$146,"&lt;="&amp;DATE(2027,1,3))+SUMIFS(Selasa!$H$7:$H$166,Selasa!$C$7:$C$166,$B36,Selasa!$A$7:$A$166,"&gt;="&amp;DATE(2026,12,28),Selasa!$A$7:$A$166,"&lt;="&amp;DATE(2027,1,3))+SUMIFS(Rabu!$H$7:$H$206,Rabu!$C$7:$C$206,$B36,Rabu!$A$7:$A$206,"&gt;="&amp;DATE(2026,12,28),Rabu!$A$7:$A$206,"&lt;="&amp;DATE(2027,1,3))+SUMIFS(Kamis!$H$7:$H$186,Kamis!$C$7:$C$186,$B36,Kamis!$A$7:$A$186,"&gt;="&amp;DATE(2026,12,28),Kamis!$A$7:$A$186,"&lt;="&amp;DATE(2027,1,3))+SUMIFS(Jumat!$H$7:$H$186,Jumat!$C$7:$C$186,$B36,Jumat!$A$7:$A$186,"&gt;="&amp;DATE(2026,12,28),Jumat!$A$7:$A$186,"&lt;="&amp;DATE(2027,1,3))</f>
        <v>0</v>
      </c>
      <c r="AC36" s="45">
        <f>SUMIFS(Senin!$H$7:$H$146,Senin!$C$7:$C$146,$B36,Senin!$A$7:$A$146,"&gt;="&amp;DATE(2027,1,4),Senin!$A$7:$A$146,"&lt;="&amp;DATE(2027,1,10))+SUMIFS(Selasa!$H$7:$H$166,Selasa!$C$7:$C$166,$B36,Selasa!$A$7:$A$166,"&gt;="&amp;DATE(2027,1,4),Selasa!$A$7:$A$166,"&lt;="&amp;DATE(2027,1,10))+SUMIFS(Rabu!$H$7:$H$206,Rabu!$C$7:$C$206,$B36,Rabu!$A$7:$A$206,"&gt;="&amp;DATE(2027,1,4),Rabu!$A$7:$A$206,"&lt;="&amp;DATE(2027,1,10))+SUMIFS(Kamis!$H$7:$H$186,Kamis!$C$7:$C$186,$B36,Kamis!$A$7:$A$186,"&gt;="&amp;DATE(2027,1,4),Kamis!$A$7:$A$186,"&lt;="&amp;DATE(2027,1,10))+SUMIFS(Jumat!$H$7:$H$186,Jumat!$C$7:$C$186,$B36,Jumat!$A$7:$A$186,"&gt;="&amp;DATE(2027,1,4),Jumat!$A$7:$A$186,"&lt;="&amp;DATE(2027,1,10))</f>
        <v>0</v>
      </c>
      <c r="AD36" s="45">
        <f>SUMIFS(Senin!$H$7:$H$146,Senin!$C$7:$C$146,$B36,Senin!$A$7:$A$146,"&gt;="&amp;DATE(2027,1,11),Senin!$A$7:$A$146,"&lt;="&amp;DATE(2027,1,17))+SUMIFS(Selasa!$H$7:$H$166,Selasa!$C$7:$C$166,$B36,Selasa!$A$7:$A$166,"&gt;="&amp;DATE(2027,1,11),Selasa!$A$7:$A$166,"&lt;="&amp;DATE(2027,1,17))+SUMIFS(Rabu!$H$7:$H$206,Rabu!$C$7:$C$206,$B36,Rabu!$A$7:$A$206,"&gt;="&amp;DATE(2027,1,11),Rabu!$A$7:$A$206,"&lt;="&amp;DATE(2027,1,17))+SUMIFS(Kamis!$H$7:$H$186,Kamis!$C$7:$C$186,$B36,Kamis!$A$7:$A$186,"&gt;="&amp;DATE(2027,1,11),Kamis!$A$7:$A$186,"&lt;="&amp;DATE(2027,1,17))+SUMIFS(Jumat!$H$7:$H$186,Jumat!$C$7:$C$186,$B36,Jumat!$A$7:$A$186,"&gt;="&amp;DATE(2027,1,11),Jumat!$A$7:$A$186,"&lt;="&amp;DATE(2027,1,17))</f>
        <v>0</v>
      </c>
    </row>
    <row r="37" ht="15.75" customHeight="1">
      <c r="A37" s="62">
        <v>34.0</v>
      </c>
      <c r="B37" s="26" t="s">
        <v>19</v>
      </c>
      <c r="C37" s="41">
        <f>COUNTIFS(Senin!$C$7:$C$146,$B37,Senin!$G$7:$G$146,"Ya",Senin!$E$7:$E$146,"&lt;&gt;")+COUNTIFS(Selasa!$C$7:$C$166,$B37,Selasa!$G$7:$G$166,"Ya",Selasa!$E$7:$E$166,"&lt;&gt;")+COUNTIFS(Rabu!$C$7:$C$206,$B37,Rabu!$G$7:$G$206,"Ya",Rabu!$E$7:$E$206,"&lt;&gt;")+COUNTIFS(Kamis!$C$7:$C$186,$B37,Kamis!$G$7:$G$186,"Ya",Kamis!$E$7:$E$186,"&lt;&gt;")+COUNTIFS(Jumat!$C$7:$C$186,$B37,Jumat!$G$7:$G$186,"Ya",Jumat!$E$7:$E$186,"&lt;&gt;")</f>
        <v>0</v>
      </c>
      <c r="D37" s="41">
        <f>COUNTIFS(Senin!$C$7:$C$146,$B37,Senin!$G$7:$G$146,"Ya",Senin!$E$7:$E$146,"")+COUNTIFS(Selasa!$C$7:$C$166,$B37,Selasa!$G$7:$G$166,"Ya",Selasa!$E$7:$E$166,"")+COUNTIFS(Rabu!$C$7:$C$206,$B37,Rabu!$G$7:$G$206,"Ya",Rabu!$E$7:$E$206,"")+COUNTIFS(Kamis!$C$7:$C$186,$B37,Kamis!$G$7:$G$186,"Ya",Kamis!$E$7:$E$186,"")+COUNTIFS(Jumat!$C$7:$C$186,$B37,Jumat!$G$7:$G$186,"Ya",Jumat!$E$7:$E$186,"")</f>
        <v>0</v>
      </c>
      <c r="E37" s="45">
        <f>SUMIFS(Senin!$H$7:$H$146,Senin!$C$7:$C$146,$B37,Senin!$A$7:$A$146,"&gt;="&amp;DATE(2026,8,1),Senin!$A$7:$A$146,"&lt;="&amp;DATE(2026,12,31))+SUMIFS(Selasa!$H$7:$H$166,Selasa!$C$7:$C$166,$B37,Selasa!$A$7:$A$166,"&gt;="&amp;DATE(2026,8,1),Selasa!$A$7:$A$166,"&lt;="&amp;DATE(2026,12,31))+SUMIFS(Rabu!$H$7:$H$206,Rabu!$C$7:$C$206,$B37,Rabu!$A$7:$A$206,"&gt;="&amp;DATE(2026,8,1),Rabu!$A$7:$A$206,"&lt;="&amp;DATE(2026,12,31))+SUMIFS(Kamis!$H$7:$H$186,Kamis!$C$7:$C$186,$B37,Kamis!$A$7:$A$186,"&gt;="&amp;DATE(2026,8,1),Kamis!$A$7:$A$186,"&lt;="&amp;DATE(2026,12,31))+SUMIFS(Jumat!$H$7:$H$186,Jumat!$C$7:$C$186,$B37,Jumat!$A$7:$A$186,"&gt;="&amp;DATE(2026,8,1),Jumat!$A$7:$A$186,"&lt;="&amp;DATE(2026,12,31))</f>
        <v>0</v>
      </c>
      <c r="F37" s="45">
        <f>SUMIFS(Senin!$H$7:$H$146,Senin!$C$7:$C$146,$B37,Senin!$A$7:$A$146,"&gt;="&amp;DATE(2026,8,1),Senin!$A$7:$A$146,"&lt;="&amp;DATE(2026,8,31))+SUMIFS(Selasa!$H$7:$H$166,Selasa!$C$7:$C$166,$B37,Selasa!$A$7:$A$166,"&gt;="&amp;DATE(2026,8,1),Selasa!$A$7:$A$166,"&lt;="&amp;DATE(2026,8,31))+SUMIFS(Rabu!$H$7:$H$206,Rabu!$C$7:$C$206,$B37,Rabu!$A$7:$A$206,"&gt;="&amp;DATE(2026,8,1),Rabu!$A$7:$A$206,"&lt;="&amp;DATE(2026,8,31))+SUMIFS(Kamis!$H$7:$H$186,Kamis!$C$7:$C$186,$B37,Kamis!$A$7:$A$186,"&gt;="&amp;DATE(2026,8,1),Kamis!$A$7:$A$186,"&lt;="&amp;DATE(2026,8,31))+SUMIFS(Jumat!$H$7:$H$186,Jumat!$C$7:$C$186,$B37,Jumat!$A$7:$A$186,"&gt;="&amp;DATE(2026,8,1),Jumat!$A$7:$A$186,"&lt;="&amp;DATE(2026,8,31))</f>
        <v>0</v>
      </c>
      <c r="G37" s="45">
        <f>SUMIFS(Senin!$H$7:$H$146,Senin!$C$7:$C$146,$B37,Senin!$A$7:$A$146,"&gt;="&amp;DATE(2026,9,1),Senin!$A$7:$A$146,"&lt;="&amp;DATE(2026,9,30))+SUMIFS(Selasa!$H$7:$H$166,Selasa!$C$7:$C$166,$B37,Selasa!$A$7:$A$166,"&gt;="&amp;DATE(2026,9,1),Selasa!$A$7:$A$166,"&lt;="&amp;DATE(2026,9,30))+SUMIFS(Rabu!$H$7:$H$206,Rabu!$C$7:$C$206,$B37,Rabu!$A$7:$A$206,"&gt;="&amp;DATE(2026,9,1),Rabu!$A$7:$A$206,"&lt;="&amp;DATE(2026,9,30))+SUMIFS(Kamis!$H$7:$H$186,Kamis!$C$7:$C$186,$B37,Kamis!$A$7:$A$186,"&gt;="&amp;DATE(2026,9,1),Kamis!$A$7:$A$186,"&lt;="&amp;DATE(2026,9,30))+SUMIFS(Jumat!$H$7:$H$186,Jumat!$C$7:$C$186,$B37,Jumat!$A$7:$A$186,"&gt;="&amp;DATE(2026,9,1),Jumat!$A$7:$A$186,"&lt;="&amp;DATE(2026,9,30))</f>
        <v>0</v>
      </c>
      <c r="H37" s="45">
        <f>SUMIFS(Senin!$H$7:$H$146,Senin!$C$7:$C$146,$B37,Senin!$A$7:$A$146,"&gt;="&amp;DATE(2026,10,1),Senin!$A$7:$A$146,"&lt;="&amp;DATE(2026,10,31))+SUMIFS(Selasa!$H$7:$H$166,Selasa!$C$7:$C$166,$B37,Selasa!$A$7:$A$166,"&gt;="&amp;DATE(2026,10,1),Selasa!$A$7:$A$166,"&lt;="&amp;DATE(2026,10,31))+SUMIFS(Rabu!$H$7:$H$206,Rabu!$C$7:$C$206,$B37,Rabu!$A$7:$A$206,"&gt;="&amp;DATE(2026,10,1),Rabu!$A$7:$A$206,"&lt;="&amp;DATE(2026,10,31))+SUMIFS(Kamis!$H$7:$H$186,Kamis!$C$7:$C$186,$B37,Kamis!$A$7:$A$186,"&gt;="&amp;DATE(2026,10,1),Kamis!$A$7:$A$186,"&lt;="&amp;DATE(2026,10,31))+SUMIFS(Jumat!$H$7:$H$186,Jumat!$C$7:$C$186,$B37,Jumat!$A$7:$A$186,"&gt;="&amp;DATE(2026,10,1),Jumat!$A$7:$A$186,"&lt;="&amp;DATE(2026,10,31))</f>
        <v>0</v>
      </c>
      <c r="I37" s="45">
        <f>SUMIFS(Senin!$H$7:$H$146,Senin!$C$7:$C$146,$B37,Senin!$A$7:$A$146,"&gt;="&amp;DATE(2026,11,1),Senin!$A$7:$A$146,"&lt;="&amp;DATE(2026,11,30))+SUMIFS(Selasa!$H$7:$H$166,Selasa!$C$7:$C$166,$B37,Selasa!$A$7:$A$166,"&gt;="&amp;DATE(2026,11,1),Selasa!$A$7:$A$166,"&lt;="&amp;DATE(2026,11,30))+SUMIFS(Rabu!$H$7:$H$206,Rabu!$C$7:$C$206,$B37,Rabu!$A$7:$A$206,"&gt;="&amp;DATE(2026,11,1),Rabu!$A$7:$A$206,"&lt;="&amp;DATE(2026,11,30))+SUMIFS(Kamis!$H$7:$H$186,Kamis!$C$7:$C$186,$B37,Kamis!$A$7:$A$186,"&gt;="&amp;DATE(2026,11,1),Kamis!$A$7:$A$186,"&lt;="&amp;DATE(2026,11,30))+SUMIFS(Jumat!$H$7:$H$186,Jumat!$C$7:$C$186,$B37,Jumat!$A$7:$A$186,"&gt;="&amp;DATE(2026,11,1),Jumat!$A$7:$A$186,"&lt;="&amp;DATE(2026,11,30))</f>
        <v>0</v>
      </c>
      <c r="J37" s="45">
        <f>SUMIFS(Senin!$H$7:$H$146,Senin!$C$7:$C$146,$B37,Senin!$A$7:$A$146,"&gt;="&amp;DATE(2026,12,1),Senin!$A$7:$A$146,"&lt;="&amp;DATE(2026,12,31))+SUMIFS(Selasa!$H$7:$H$166,Selasa!$C$7:$C$166,$B37,Selasa!$A$7:$A$166,"&gt;="&amp;DATE(2026,12,1),Selasa!$A$7:$A$166,"&lt;="&amp;DATE(2026,12,31))+SUMIFS(Rabu!$H$7:$H$206,Rabu!$C$7:$C$206,$B37,Rabu!$A$7:$A$206,"&gt;="&amp;DATE(2026,12,1),Rabu!$A$7:$A$206,"&lt;="&amp;DATE(2026,12,31))+SUMIFS(Kamis!$H$7:$H$186,Kamis!$C$7:$C$186,$B37,Kamis!$A$7:$A$186,"&gt;="&amp;DATE(2026,12,1),Kamis!$A$7:$A$186,"&lt;="&amp;DATE(2026,12,31))+SUMIFS(Jumat!$H$7:$H$186,Jumat!$C$7:$C$186,$B37,Jumat!$A$7:$A$186,"&gt;="&amp;DATE(2026,12,1),Jumat!$A$7:$A$186,"&lt;="&amp;DATE(2026,12,31))</f>
        <v>0</v>
      </c>
      <c r="K37" s="45">
        <f>SUMIFS(Senin!$H$7:$H$146,Senin!$C$7:$C$146,$B37,Senin!$A$7:$A$146,"&gt;="&amp;DATE(2026,8,31),Senin!$A$7:$A$146,"&lt;="&amp;DATE(2026,9,6))+SUMIFS(Selasa!$H$7:$H$166,Selasa!$C$7:$C$166,$B37,Selasa!$A$7:$A$166,"&gt;="&amp;DATE(2026,8,31),Selasa!$A$7:$A$166,"&lt;="&amp;DATE(2026,9,6))+SUMIFS(Rabu!$H$7:$H$206,Rabu!$C$7:$C$206,$B37,Rabu!$A$7:$A$206,"&gt;="&amp;DATE(2026,8,31),Rabu!$A$7:$A$206,"&lt;="&amp;DATE(2026,9,6))+SUMIFS(Kamis!$H$7:$H$186,Kamis!$C$7:$C$186,$B37,Kamis!$A$7:$A$186,"&gt;="&amp;DATE(2026,8,31),Kamis!$A$7:$A$186,"&lt;="&amp;DATE(2026,9,6))+SUMIFS(Jumat!$H$7:$H$186,Jumat!$C$7:$C$186,$B37,Jumat!$A$7:$A$186,"&gt;="&amp;DATE(2026,8,31),Jumat!$A$7:$A$186,"&lt;="&amp;DATE(2026,9,6))</f>
        <v>0</v>
      </c>
      <c r="L37" s="45">
        <f>SUMIFS(Senin!$H$7:$H$146,Senin!$C$7:$C$146,$B37,Senin!$A$7:$A$146,"&gt;="&amp;DATE(2026,9,7),Senin!$A$7:$A$146,"&lt;="&amp;DATE(2026,9,13))+SUMIFS(Selasa!$H$7:$H$166,Selasa!$C$7:$C$166,$B37,Selasa!$A$7:$A$166,"&gt;="&amp;DATE(2026,9,7),Selasa!$A$7:$A$166,"&lt;="&amp;DATE(2026,9,13))+SUMIFS(Rabu!$H$7:$H$206,Rabu!$C$7:$C$206,$B37,Rabu!$A$7:$A$206,"&gt;="&amp;DATE(2026,9,7),Rabu!$A$7:$A$206,"&lt;="&amp;DATE(2026,9,13))+SUMIFS(Kamis!$H$7:$H$186,Kamis!$C$7:$C$186,$B37,Kamis!$A$7:$A$186,"&gt;="&amp;DATE(2026,9,7),Kamis!$A$7:$A$186,"&lt;="&amp;DATE(2026,9,13))+SUMIFS(Jumat!$H$7:$H$186,Jumat!$C$7:$C$186,$B37,Jumat!$A$7:$A$186,"&gt;="&amp;DATE(2026,9,7),Jumat!$A$7:$A$186,"&lt;="&amp;DATE(2026,9,13))</f>
        <v>0</v>
      </c>
      <c r="M37" s="45">
        <f>SUMIFS(Senin!$H$7:$H$146,Senin!$C$7:$C$146,$B37,Senin!$A$7:$A$146,"&gt;="&amp;DATE(2026,9,14),Senin!$A$7:$A$146,"&lt;="&amp;DATE(2026,9,20))+SUMIFS(Selasa!$H$7:$H$166,Selasa!$C$7:$C$166,$B37,Selasa!$A$7:$A$166,"&gt;="&amp;DATE(2026,9,14),Selasa!$A$7:$A$166,"&lt;="&amp;DATE(2026,9,20))+SUMIFS(Rabu!$H$7:$H$206,Rabu!$C$7:$C$206,$B37,Rabu!$A$7:$A$206,"&gt;="&amp;DATE(2026,9,14),Rabu!$A$7:$A$206,"&lt;="&amp;DATE(2026,9,20))+SUMIFS(Kamis!$H$7:$H$186,Kamis!$C$7:$C$186,$B37,Kamis!$A$7:$A$186,"&gt;="&amp;DATE(2026,9,14),Kamis!$A$7:$A$186,"&lt;="&amp;DATE(2026,9,20))+SUMIFS(Jumat!$H$7:$H$186,Jumat!$C$7:$C$186,$B37,Jumat!$A$7:$A$186,"&gt;="&amp;DATE(2026,9,14),Jumat!$A$7:$A$186,"&lt;="&amp;DATE(2026,9,20))</f>
        <v>0</v>
      </c>
      <c r="N37" s="45">
        <f>SUMIFS(Senin!$H$7:$H$146,Senin!$C$7:$C$146,$B37,Senin!$A$7:$A$146,"&gt;="&amp;DATE(2026,9,21),Senin!$A$7:$A$146,"&lt;="&amp;DATE(2026,9,27))+SUMIFS(Selasa!$H$7:$H$166,Selasa!$C$7:$C$166,$B37,Selasa!$A$7:$A$166,"&gt;="&amp;DATE(2026,9,21),Selasa!$A$7:$A$166,"&lt;="&amp;DATE(2026,9,27))+SUMIFS(Rabu!$H$7:$H$206,Rabu!$C$7:$C$206,$B37,Rabu!$A$7:$A$206,"&gt;="&amp;DATE(2026,9,21),Rabu!$A$7:$A$206,"&lt;="&amp;DATE(2026,9,27))+SUMIFS(Kamis!$H$7:$H$186,Kamis!$C$7:$C$186,$B37,Kamis!$A$7:$A$186,"&gt;="&amp;DATE(2026,9,21),Kamis!$A$7:$A$186,"&lt;="&amp;DATE(2026,9,27))+SUMIFS(Jumat!$H$7:$H$186,Jumat!$C$7:$C$186,$B37,Jumat!$A$7:$A$186,"&gt;="&amp;DATE(2026,9,21),Jumat!$A$7:$A$186,"&lt;="&amp;DATE(2026,9,27))</f>
        <v>0</v>
      </c>
      <c r="O37" s="45">
        <f>SUMIFS(Senin!$H$7:$H$146,Senin!$C$7:$C$146,$B37,Senin!$A$7:$A$146,"&gt;="&amp;DATE(2026,9,28),Senin!$A$7:$A$146,"&lt;="&amp;DATE(2026,10,4))+SUMIFS(Selasa!$H$7:$H$166,Selasa!$C$7:$C$166,$B37,Selasa!$A$7:$A$166,"&gt;="&amp;DATE(2026,9,28),Selasa!$A$7:$A$166,"&lt;="&amp;DATE(2026,10,4))+SUMIFS(Rabu!$H$7:$H$206,Rabu!$C$7:$C$206,$B37,Rabu!$A$7:$A$206,"&gt;="&amp;DATE(2026,9,28),Rabu!$A$7:$A$206,"&lt;="&amp;DATE(2026,10,4))+SUMIFS(Kamis!$H$7:$H$186,Kamis!$C$7:$C$186,$B37,Kamis!$A$7:$A$186,"&gt;="&amp;DATE(2026,9,28),Kamis!$A$7:$A$186,"&lt;="&amp;DATE(2026,10,4))+SUMIFS(Jumat!$H$7:$H$186,Jumat!$C$7:$C$186,$B37,Jumat!$A$7:$A$186,"&gt;="&amp;DATE(2026,9,28),Jumat!$A$7:$A$186,"&lt;="&amp;DATE(2026,10,4))</f>
        <v>0</v>
      </c>
      <c r="P37" s="45">
        <f>SUMIFS(Senin!$H$7:$H$146,Senin!$C$7:$C$146,$B37,Senin!$A$7:$A$146,"&gt;="&amp;DATE(2026,10,5),Senin!$A$7:$A$146,"&lt;="&amp;DATE(2026,10,11))+SUMIFS(Selasa!$H$7:$H$166,Selasa!$C$7:$C$166,$B37,Selasa!$A$7:$A$166,"&gt;="&amp;DATE(2026,10,5),Selasa!$A$7:$A$166,"&lt;="&amp;DATE(2026,10,11))+SUMIFS(Rabu!$H$7:$H$206,Rabu!$C$7:$C$206,$B37,Rabu!$A$7:$A$206,"&gt;="&amp;DATE(2026,10,5),Rabu!$A$7:$A$206,"&lt;="&amp;DATE(2026,10,11))+SUMIFS(Kamis!$H$7:$H$186,Kamis!$C$7:$C$186,$B37,Kamis!$A$7:$A$186,"&gt;="&amp;DATE(2026,10,5),Kamis!$A$7:$A$186,"&lt;="&amp;DATE(2026,10,11))+SUMIFS(Jumat!$H$7:$H$186,Jumat!$C$7:$C$186,$B37,Jumat!$A$7:$A$186,"&gt;="&amp;DATE(2026,10,5),Jumat!$A$7:$A$186,"&lt;="&amp;DATE(2026,10,11))</f>
        <v>0</v>
      </c>
      <c r="Q37" s="45">
        <f>SUMIFS(Senin!$H$7:$H$146,Senin!$C$7:$C$146,$B37,Senin!$A$7:$A$146,"&gt;="&amp;DATE(2026,10,12),Senin!$A$7:$A$146,"&lt;="&amp;DATE(2026,10,18))+SUMIFS(Selasa!$H$7:$H$166,Selasa!$C$7:$C$166,$B37,Selasa!$A$7:$A$166,"&gt;="&amp;DATE(2026,10,12),Selasa!$A$7:$A$166,"&lt;="&amp;DATE(2026,10,18))+SUMIFS(Rabu!$H$7:$H$206,Rabu!$C$7:$C$206,$B37,Rabu!$A$7:$A$206,"&gt;="&amp;DATE(2026,10,12),Rabu!$A$7:$A$206,"&lt;="&amp;DATE(2026,10,18))+SUMIFS(Kamis!$H$7:$H$186,Kamis!$C$7:$C$186,$B37,Kamis!$A$7:$A$186,"&gt;="&amp;DATE(2026,10,12),Kamis!$A$7:$A$186,"&lt;="&amp;DATE(2026,10,18))+SUMIFS(Jumat!$H$7:$H$186,Jumat!$C$7:$C$186,$B37,Jumat!$A$7:$A$186,"&gt;="&amp;DATE(2026,10,12),Jumat!$A$7:$A$186,"&lt;="&amp;DATE(2026,10,18))</f>
        <v>0</v>
      </c>
      <c r="R37" s="45">
        <f>SUMIFS(Senin!$H$7:$H$146,Senin!$C$7:$C$146,$B37,Senin!$A$7:$A$146,"&gt;="&amp;DATE(2026,10,19),Senin!$A$7:$A$146,"&lt;="&amp;DATE(2026,10,25))+SUMIFS(Selasa!$H$7:$H$166,Selasa!$C$7:$C$166,$B37,Selasa!$A$7:$A$166,"&gt;="&amp;DATE(2026,10,19),Selasa!$A$7:$A$166,"&lt;="&amp;DATE(2026,10,25))+SUMIFS(Rabu!$H$7:$H$206,Rabu!$C$7:$C$206,$B37,Rabu!$A$7:$A$206,"&gt;="&amp;DATE(2026,10,19),Rabu!$A$7:$A$206,"&lt;="&amp;DATE(2026,10,25))+SUMIFS(Kamis!$H$7:$H$186,Kamis!$C$7:$C$186,$B37,Kamis!$A$7:$A$186,"&gt;="&amp;DATE(2026,10,19),Kamis!$A$7:$A$186,"&lt;="&amp;DATE(2026,10,25))+SUMIFS(Jumat!$H$7:$H$186,Jumat!$C$7:$C$186,$B37,Jumat!$A$7:$A$186,"&gt;="&amp;DATE(2026,10,19),Jumat!$A$7:$A$186,"&lt;="&amp;DATE(2026,10,25))</f>
        <v>0</v>
      </c>
      <c r="S37" s="45">
        <f>SUMIFS(Senin!$H$7:$H$146,Senin!$C$7:$C$146,$B37,Senin!$A$7:$A$146,"&gt;="&amp;DATE(2026,10,26),Senin!$A$7:$A$146,"&lt;="&amp;DATE(2026,11,1))+SUMIFS(Selasa!$H$7:$H$166,Selasa!$C$7:$C$166,$B37,Selasa!$A$7:$A$166,"&gt;="&amp;DATE(2026,10,26),Selasa!$A$7:$A$166,"&lt;="&amp;DATE(2026,11,1))+SUMIFS(Rabu!$H$7:$H$206,Rabu!$C$7:$C$206,$B37,Rabu!$A$7:$A$206,"&gt;="&amp;DATE(2026,10,26),Rabu!$A$7:$A$206,"&lt;="&amp;DATE(2026,11,1))+SUMIFS(Kamis!$H$7:$H$186,Kamis!$C$7:$C$186,$B37,Kamis!$A$7:$A$186,"&gt;="&amp;DATE(2026,10,26),Kamis!$A$7:$A$186,"&lt;="&amp;DATE(2026,11,1))+SUMIFS(Jumat!$H$7:$H$186,Jumat!$C$7:$C$186,$B37,Jumat!$A$7:$A$186,"&gt;="&amp;DATE(2026,10,26),Jumat!$A$7:$A$186,"&lt;="&amp;DATE(2026,11,1))</f>
        <v>0</v>
      </c>
      <c r="T37" s="45">
        <f>SUMIFS(Senin!$H$7:$H$146,Senin!$C$7:$C$146,$B37,Senin!$A$7:$A$146,"&gt;="&amp;DATE(2026,11,2),Senin!$A$7:$A$146,"&lt;="&amp;DATE(2026,11,8))+SUMIFS(Selasa!$H$7:$H$166,Selasa!$C$7:$C$166,$B37,Selasa!$A$7:$A$166,"&gt;="&amp;DATE(2026,11,2),Selasa!$A$7:$A$166,"&lt;="&amp;DATE(2026,11,8))+SUMIFS(Rabu!$H$7:$H$206,Rabu!$C$7:$C$206,$B37,Rabu!$A$7:$A$206,"&gt;="&amp;DATE(2026,11,2),Rabu!$A$7:$A$206,"&lt;="&amp;DATE(2026,11,8))+SUMIFS(Kamis!$H$7:$H$186,Kamis!$C$7:$C$186,$B37,Kamis!$A$7:$A$186,"&gt;="&amp;DATE(2026,11,2),Kamis!$A$7:$A$186,"&lt;="&amp;DATE(2026,11,8))+SUMIFS(Jumat!$H$7:$H$186,Jumat!$C$7:$C$186,$B37,Jumat!$A$7:$A$186,"&gt;="&amp;DATE(2026,11,2),Jumat!$A$7:$A$186,"&lt;="&amp;DATE(2026,11,8))</f>
        <v>0</v>
      </c>
      <c r="U37" s="45">
        <f>SUMIFS(Senin!$H$7:$H$146,Senin!$C$7:$C$146,$B37,Senin!$A$7:$A$146,"&gt;="&amp;DATE(2026,11,9),Senin!$A$7:$A$146,"&lt;="&amp;DATE(2026,11,15))+SUMIFS(Selasa!$H$7:$H$166,Selasa!$C$7:$C$166,$B37,Selasa!$A$7:$A$166,"&gt;="&amp;DATE(2026,11,9),Selasa!$A$7:$A$166,"&lt;="&amp;DATE(2026,11,15))+SUMIFS(Rabu!$H$7:$H$206,Rabu!$C$7:$C$206,$B37,Rabu!$A$7:$A$206,"&gt;="&amp;DATE(2026,11,9),Rabu!$A$7:$A$206,"&lt;="&amp;DATE(2026,11,15))+SUMIFS(Kamis!$H$7:$H$186,Kamis!$C$7:$C$186,$B37,Kamis!$A$7:$A$186,"&gt;="&amp;DATE(2026,11,9),Kamis!$A$7:$A$186,"&lt;="&amp;DATE(2026,11,15))+SUMIFS(Jumat!$H$7:$H$186,Jumat!$C$7:$C$186,$B37,Jumat!$A$7:$A$186,"&gt;="&amp;DATE(2026,11,9),Jumat!$A$7:$A$186,"&lt;="&amp;DATE(2026,11,15))</f>
        <v>0</v>
      </c>
      <c r="V37" s="45">
        <f>SUMIFS(Senin!$H$7:$H$146,Senin!$C$7:$C$146,$B37,Senin!$A$7:$A$146,"&gt;="&amp;DATE(2026,11,16),Senin!$A$7:$A$146,"&lt;="&amp;DATE(2026,11,22))+SUMIFS(Selasa!$H$7:$H$166,Selasa!$C$7:$C$166,$B37,Selasa!$A$7:$A$166,"&gt;="&amp;DATE(2026,11,16),Selasa!$A$7:$A$166,"&lt;="&amp;DATE(2026,11,22))+SUMIFS(Rabu!$H$7:$H$206,Rabu!$C$7:$C$206,$B37,Rabu!$A$7:$A$206,"&gt;="&amp;DATE(2026,11,16),Rabu!$A$7:$A$206,"&lt;="&amp;DATE(2026,11,22))+SUMIFS(Kamis!$H$7:$H$186,Kamis!$C$7:$C$186,$B37,Kamis!$A$7:$A$186,"&gt;="&amp;DATE(2026,11,16),Kamis!$A$7:$A$186,"&lt;="&amp;DATE(2026,11,22))+SUMIFS(Jumat!$H$7:$H$186,Jumat!$C$7:$C$186,$B37,Jumat!$A$7:$A$186,"&gt;="&amp;DATE(2026,11,16),Jumat!$A$7:$A$186,"&lt;="&amp;DATE(2026,11,22))</f>
        <v>0</v>
      </c>
      <c r="W37" s="45">
        <f>SUMIFS(Senin!$H$7:$H$146,Senin!$C$7:$C$146,$B37,Senin!$A$7:$A$146,"&gt;="&amp;DATE(2026,11,23),Senin!$A$7:$A$146,"&lt;="&amp;DATE(2026,11,29))+SUMIFS(Selasa!$H$7:$H$166,Selasa!$C$7:$C$166,$B37,Selasa!$A$7:$A$166,"&gt;="&amp;DATE(2026,11,23),Selasa!$A$7:$A$166,"&lt;="&amp;DATE(2026,11,29))+SUMIFS(Rabu!$H$7:$H$206,Rabu!$C$7:$C$206,$B37,Rabu!$A$7:$A$206,"&gt;="&amp;DATE(2026,11,23),Rabu!$A$7:$A$206,"&lt;="&amp;DATE(2026,11,29))+SUMIFS(Kamis!$H$7:$H$186,Kamis!$C$7:$C$186,$B37,Kamis!$A$7:$A$186,"&gt;="&amp;DATE(2026,11,23),Kamis!$A$7:$A$186,"&lt;="&amp;DATE(2026,11,29))+SUMIFS(Jumat!$H$7:$H$186,Jumat!$C$7:$C$186,$B37,Jumat!$A$7:$A$186,"&gt;="&amp;DATE(2026,11,23),Jumat!$A$7:$A$186,"&lt;="&amp;DATE(2026,11,29))</f>
        <v>0</v>
      </c>
      <c r="X37" s="45">
        <f>SUMIFS(Senin!$H$7:$H$146,Senin!$C$7:$C$146,$B37,Senin!$A$7:$A$146,"&gt;="&amp;DATE(2026,11,30),Senin!$A$7:$A$146,"&lt;="&amp;DATE(2026,12,6))+SUMIFS(Selasa!$H$7:$H$166,Selasa!$C$7:$C$166,$B37,Selasa!$A$7:$A$166,"&gt;="&amp;DATE(2026,11,30),Selasa!$A$7:$A$166,"&lt;="&amp;DATE(2026,12,6))+SUMIFS(Rabu!$H$7:$H$206,Rabu!$C$7:$C$206,$B37,Rabu!$A$7:$A$206,"&gt;="&amp;DATE(2026,11,30),Rabu!$A$7:$A$206,"&lt;="&amp;DATE(2026,12,6))+SUMIFS(Kamis!$H$7:$H$186,Kamis!$C$7:$C$186,$B37,Kamis!$A$7:$A$186,"&gt;="&amp;DATE(2026,11,30),Kamis!$A$7:$A$186,"&lt;="&amp;DATE(2026,12,6))+SUMIFS(Jumat!$H$7:$H$186,Jumat!$C$7:$C$186,$B37,Jumat!$A$7:$A$186,"&gt;="&amp;DATE(2026,11,30),Jumat!$A$7:$A$186,"&lt;="&amp;DATE(2026,12,6))</f>
        <v>0</v>
      </c>
      <c r="Y37" s="45">
        <f>SUMIFS(Senin!$H$7:$H$146,Senin!$C$7:$C$146,$B37,Senin!$A$7:$A$146,"&gt;="&amp;DATE(2026,12,7),Senin!$A$7:$A$146,"&lt;="&amp;DATE(2026,12,13))+SUMIFS(Selasa!$H$7:$H$166,Selasa!$C$7:$C$166,$B37,Selasa!$A$7:$A$166,"&gt;="&amp;DATE(2026,12,7),Selasa!$A$7:$A$166,"&lt;="&amp;DATE(2026,12,13))+SUMIFS(Rabu!$H$7:$H$206,Rabu!$C$7:$C$206,$B37,Rabu!$A$7:$A$206,"&gt;="&amp;DATE(2026,12,7),Rabu!$A$7:$A$206,"&lt;="&amp;DATE(2026,12,13))+SUMIFS(Kamis!$H$7:$H$186,Kamis!$C$7:$C$186,$B37,Kamis!$A$7:$A$186,"&gt;="&amp;DATE(2026,12,7),Kamis!$A$7:$A$186,"&lt;="&amp;DATE(2026,12,13))+SUMIFS(Jumat!$H$7:$H$186,Jumat!$C$7:$C$186,$B37,Jumat!$A$7:$A$186,"&gt;="&amp;DATE(2026,12,7),Jumat!$A$7:$A$186,"&lt;="&amp;DATE(2026,12,13))</f>
        <v>0</v>
      </c>
      <c r="Z37" s="45">
        <f>SUMIFS(Senin!$H$7:$H$146,Senin!$C$7:$C$146,$B37,Senin!$A$7:$A$146,"&gt;="&amp;DATE(2026,12,14),Senin!$A$7:$A$146,"&lt;="&amp;DATE(2026,12,20))+SUMIFS(Selasa!$H$7:$H$166,Selasa!$C$7:$C$166,$B37,Selasa!$A$7:$A$166,"&gt;="&amp;DATE(2026,12,14),Selasa!$A$7:$A$166,"&lt;="&amp;DATE(2026,12,20))+SUMIFS(Rabu!$H$7:$H$206,Rabu!$C$7:$C$206,$B37,Rabu!$A$7:$A$206,"&gt;="&amp;DATE(2026,12,14),Rabu!$A$7:$A$206,"&lt;="&amp;DATE(2026,12,20))+SUMIFS(Kamis!$H$7:$H$186,Kamis!$C$7:$C$186,$B37,Kamis!$A$7:$A$186,"&gt;="&amp;DATE(2026,12,14),Kamis!$A$7:$A$186,"&lt;="&amp;DATE(2026,12,20))+SUMIFS(Jumat!$H$7:$H$186,Jumat!$C$7:$C$186,$B37,Jumat!$A$7:$A$186,"&gt;="&amp;DATE(2026,12,14),Jumat!$A$7:$A$186,"&lt;="&amp;DATE(2026,12,20))</f>
        <v>0</v>
      </c>
      <c r="AA37" s="45">
        <f>SUMIFS(Senin!$H$7:$H$146,Senin!$C$7:$C$146,$B37,Senin!$A$7:$A$146,"&gt;="&amp;DATE(2026,12,21),Senin!$A$7:$A$146,"&lt;="&amp;DATE(2026,12,27))+SUMIFS(Selasa!$H$7:$H$166,Selasa!$C$7:$C$166,$B37,Selasa!$A$7:$A$166,"&gt;="&amp;DATE(2026,12,21),Selasa!$A$7:$A$166,"&lt;="&amp;DATE(2026,12,27))+SUMIFS(Rabu!$H$7:$H$206,Rabu!$C$7:$C$206,$B37,Rabu!$A$7:$A$206,"&gt;="&amp;DATE(2026,12,21),Rabu!$A$7:$A$206,"&lt;="&amp;DATE(2026,12,27))+SUMIFS(Kamis!$H$7:$H$186,Kamis!$C$7:$C$186,$B37,Kamis!$A$7:$A$186,"&gt;="&amp;DATE(2026,12,21),Kamis!$A$7:$A$186,"&lt;="&amp;DATE(2026,12,27))+SUMIFS(Jumat!$H$7:$H$186,Jumat!$C$7:$C$186,$B37,Jumat!$A$7:$A$186,"&gt;="&amp;DATE(2026,12,21),Jumat!$A$7:$A$186,"&lt;="&amp;DATE(2026,12,27))</f>
        <v>0</v>
      </c>
      <c r="AB37" s="45">
        <f>SUMIFS(Senin!$H$7:$H$146,Senin!$C$7:$C$146,$B37,Senin!$A$7:$A$146,"&gt;="&amp;DATE(2026,12,28),Senin!$A$7:$A$146,"&lt;="&amp;DATE(2027,1,3))+SUMIFS(Selasa!$H$7:$H$166,Selasa!$C$7:$C$166,$B37,Selasa!$A$7:$A$166,"&gt;="&amp;DATE(2026,12,28),Selasa!$A$7:$A$166,"&lt;="&amp;DATE(2027,1,3))+SUMIFS(Rabu!$H$7:$H$206,Rabu!$C$7:$C$206,$B37,Rabu!$A$7:$A$206,"&gt;="&amp;DATE(2026,12,28),Rabu!$A$7:$A$206,"&lt;="&amp;DATE(2027,1,3))+SUMIFS(Kamis!$H$7:$H$186,Kamis!$C$7:$C$186,$B37,Kamis!$A$7:$A$186,"&gt;="&amp;DATE(2026,12,28),Kamis!$A$7:$A$186,"&lt;="&amp;DATE(2027,1,3))+SUMIFS(Jumat!$H$7:$H$186,Jumat!$C$7:$C$186,$B37,Jumat!$A$7:$A$186,"&gt;="&amp;DATE(2026,12,28),Jumat!$A$7:$A$186,"&lt;="&amp;DATE(2027,1,3))</f>
        <v>0</v>
      </c>
      <c r="AC37" s="45">
        <f>SUMIFS(Senin!$H$7:$H$146,Senin!$C$7:$C$146,$B37,Senin!$A$7:$A$146,"&gt;="&amp;DATE(2027,1,4),Senin!$A$7:$A$146,"&lt;="&amp;DATE(2027,1,10))+SUMIFS(Selasa!$H$7:$H$166,Selasa!$C$7:$C$166,$B37,Selasa!$A$7:$A$166,"&gt;="&amp;DATE(2027,1,4),Selasa!$A$7:$A$166,"&lt;="&amp;DATE(2027,1,10))+SUMIFS(Rabu!$H$7:$H$206,Rabu!$C$7:$C$206,$B37,Rabu!$A$7:$A$206,"&gt;="&amp;DATE(2027,1,4),Rabu!$A$7:$A$206,"&lt;="&amp;DATE(2027,1,10))+SUMIFS(Kamis!$H$7:$H$186,Kamis!$C$7:$C$186,$B37,Kamis!$A$7:$A$186,"&gt;="&amp;DATE(2027,1,4),Kamis!$A$7:$A$186,"&lt;="&amp;DATE(2027,1,10))+SUMIFS(Jumat!$H$7:$H$186,Jumat!$C$7:$C$186,$B37,Jumat!$A$7:$A$186,"&gt;="&amp;DATE(2027,1,4),Jumat!$A$7:$A$186,"&lt;="&amp;DATE(2027,1,10))</f>
        <v>0</v>
      </c>
      <c r="AD37" s="45">
        <f>SUMIFS(Senin!$H$7:$H$146,Senin!$C$7:$C$146,$B37,Senin!$A$7:$A$146,"&gt;="&amp;DATE(2027,1,11),Senin!$A$7:$A$146,"&lt;="&amp;DATE(2027,1,17))+SUMIFS(Selasa!$H$7:$H$166,Selasa!$C$7:$C$166,$B37,Selasa!$A$7:$A$166,"&gt;="&amp;DATE(2027,1,11),Selasa!$A$7:$A$166,"&lt;="&amp;DATE(2027,1,17))+SUMIFS(Rabu!$H$7:$H$206,Rabu!$C$7:$C$206,$B37,Rabu!$A$7:$A$206,"&gt;="&amp;DATE(2027,1,11),Rabu!$A$7:$A$206,"&lt;="&amp;DATE(2027,1,17))+SUMIFS(Kamis!$H$7:$H$186,Kamis!$C$7:$C$186,$B37,Kamis!$A$7:$A$186,"&gt;="&amp;DATE(2027,1,11),Kamis!$A$7:$A$186,"&lt;="&amp;DATE(2027,1,17))+SUMIFS(Jumat!$H$7:$H$186,Jumat!$C$7:$C$186,$B37,Jumat!$A$7:$A$186,"&gt;="&amp;DATE(2027,1,11),Jumat!$A$7:$A$186,"&lt;="&amp;DATE(2027,1,17))</f>
        <v>0</v>
      </c>
    </row>
    <row r="38" ht="15.75" customHeight="1">
      <c r="A38" s="62">
        <v>35.0</v>
      </c>
      <c r="B38" s="26" t="s">
        <v>27</v>
      </c>
      <c r="C38" s="41">
        <f>COUNTIFS(Senin!$C$7:$C$146,$B38,Senin!$G$7:$G$146,"Ya",Senin!$E$7:$E$146,"&lt;&gt;")+COUNTIFS(Selasa!$C$7:$C$166,$B38,Selasa!$G$7:$G$166,"Ya",Selasa!$E$7:$E$166,"&lt;&gt;")+COUNTIFS(Rabu!$C$7:$C$206,$B38,Rabu!$G$7:$G$206,"Ya",Rabu!$E$7:$E$206,"&lt;&gt;")+COUNTIFS(Kamis!$C$7:$C$186,$B38,Kamis!$G$7:$G$186,"Ya",Kamis!$E$7:$E$186,"&lt;&gt;")+COUNTIFS(Jumat!$C$7:$C$186,$B38,Jumat!$G$7:$G$186,"Ya",Jumat!$E$7:$E$186,"&lt;&gt;")</f>
        <v>0</v>
      </c>
      <c r="D38" s="41">
        <f>COUNTIFS(Senin!$C$7:$C$146,$B38,Senin!$G$7:$G$146,"Ya",Senin!$E$7:$E$146,"")+COUNTIFS(Selasa!$C$7:$C$166,$B38,Selasa!$G$7:$G$166,"Ya",Selasa!$E$7:$E$166,"")+COUNTIFS(Rabu!$C$7:$C$206,$B38,Rabu!$G$7:$G$206,"Ya",Rabu!$E$7:$E$206,"")+COUNTIFS(Kamis!$C$7:$C$186,$B38,Kamis!$G$7:$G$186,"Ya",Kamis!$E$7:$E$186,"")+COUNTIFS(Jumat!$C$7:$C$186,$B38,Jumat!$G$7:$G$186,"Ya",Jumat!$E$7:$E$186,"")</f>
        <v>0</v>
      </c>
      <c r="E38" s="45">
        <f>SUMIFS(Senin!$H$7:$H$146,Senin!$C$7:$C$146,$B38,Senin!$A$7:$A$146,"&gt;="&amp;DATE(2026,8,1),Senin!$A$7:$A$146,"&lt;="&amp;DATE(2026,12,31))+SUMIFS(Selasa!$H$7:$H$166,Selasa!$C$7:$C$166,$B38,Selasa!$A$7:$A$166,"&gt;="&amp;DATE(2026,8,1),Selasa!$A$7:$A$166,"&lt;="&amp;DATE(2026,12,31))+SUMIFS(Rabu!$H$7:$H$206,Rabu!$C$7:$C$206,$B38,Rabu!$A$7:$A$206,"&gt;="&amp;DATE(2026,8,1),Rabu!$A$7:$A$206,"&lt;="&amp;DATE(2026,12,31))+SUMIFS(Kamis!$H$7:$H$186,Kamis!$C$7:$C$186,$B38,Kamis!$A$7:$A$186,"&gt;="&amp;DATE(2026,8,1),Kamis!$A$7:$A$186,"&lt;="&amp;DATE(2026,12,31))+SUMIFS(Jumat!$H$7:$H$186,Jumat!$C$7:$C$186,$B38,Jumat!$A$7:$A$186,"&gt;="&amp;DATE(2026,8,1),Jumat!$A$7:$A$186,"&lt;="&amp;DATE(2026,12,31))</f>
        <v>0</v>
      </c>
      <c r="F38" s="45">
        <f>SUMIFS(Senin!$H$7:$H$146,Senin!$C$7:$C$146,$B38,Senin!$A$7:$A$146,"&gt;="&amp;DATE(2026,8,1),Senin!$A$7:$A$146,"&lt;="&amp;DATE(2026,8,31))+SUMIFS(Selasa!$H$7:$H$166,Selasa!$C$7:$C$166,$B38,Selasa!$A$7:$A$166,"&gt;="&amp;DATE(2026,8,1),Selasa!$A$7:$A$166,"&lt;="&amp;DATE(2026,8,31))+SUMIFS(Rabu!$H$7:$H$206,Rabu!$C$7:$C$206,$B38,Rabu!$A$7:$A$206,"&gt;="&amp;DATE(2026,8,1),Rabu!$A$7:$A$206,"&lt;="&amp;DATE(2026,8,31))+SUMIFS(Kamis!$H$7:$H$186,Kamis!$C$7:$C$186,$B38,Kamis!$A$7:$A$186,"&gt;="&amp;DATE(2026,8,1),Kamis!$A$7:$A$186,"&lt;="&amp;DATE(2026,8,31))+SUMIFS(Jumat!$H$7:$H$186,Jumat!$C$7:$C$186,$B38,Jumat!$A$7:$A$186,"&gt;="&amp;DATE(2026,8,1),Jumat!$A$7:$A$186,"&lt;="&amp;DATE(2026,8,31))</f>
        <v>0</v>
      </c>
      <c r="G38" s="45">
        <f>SUMIFS(Senin!$H$7:$H$146,Senin!$C$7:$C$146,$B38,Senin!$A$7:$A$146,"&gt;="&amp;DATE(2026,9,1),Senin!$A$7:$A$146,"&lt;="&amp;DATE(2026,9,30))+SUMIFS(Selasa!$H$7:$H$166,Selasa!$C$7:$C$166,$B38,Selasa!$A$7:$A$166,"&gt;="&amp;DATE(2026,9,1),Selasa!$A$7:$A$166,"&lt;="&amp;DATE(2026,9,30))+SUMIFS(Rabu!$H$7:$H$206,Rabu!$C$7:$C$206,$B38,Rabu!$A$7:$A$206,"&gt;="&amp;DATE(2026,9,1),Rabu!$A$7:$A$206,"&lt;="&amp;DATE(2026,9,30))+SUMIFS(Kamis!$H$7:$H$186,Kamis!$C$7:$C$186,$B38,Kamis!$A$7:$A$186,"&gt;="&amp;DATE(2026,9,1),Kamis!$A$7:$A$186,"&lt;="&amp;DATE(2026,9,30))+SUMIFS(Jumat!$H$7:$H$186,Jumat!$C$7:$C$186,$B38,Jumat!$A$7:$A$186,"&gt;="&amp;DATE(2026,9,1),Jumat!$A$7:$A$186,"&lt;="&amp;DATE(2026,9,30))</f>
        <v>0</v>
      </c>
      <c r="H38" s="45">
        <f>SUMIFS(Senin!$H$7:$H$146,Senin!$C$7:$C$146,$B38,Senin!$A$7:$A$146,"&gt;="&amp;DATE(2026,10,1),Senin!$A$7:$A$146,"&lt;="&amp;DATE(2026,10,31))+SUMIFS(Selasa!$H$7:$H$166,Selasa!$C$7:$C$166,$B38,Selasa!$A$7:$A$166,"&gt;="&amp;DATE(2026,10,1),Selasa!$A$7:$A$166,"&lt;="&amp;DATE(2026,10,31))+SUMIFS(Rabu!$H$7:$H$206,Rabu!$C$7:$C$206,$B38,Rabu!$A$7:$A$206,"&gt;="&amp;DATE(2026,10,1),Rabu!$A$7:$A$206,"&lt;="&amp;DATE(2026,10,31))+SUMIFS(Kamis!$H$7:$H$186,Kamis!$C$7:$C$186,$B38,Kamis!$A$7:$A$186,"&gt;="&amp;DATE(2026,10,1),Kamis!$A$7:$A$186,"&lt;="&amp;DATE(2026,10,31))+SUMIFS(Jumat!$H$7:$H$186,Jumat!$C$7:$C$186,$B38,Jumat!$A$7:$A$186,"&gt;="&amp;DATE(2026,10,1),Jumat!$A$7:$A$186,"&lt;="&amp;DATE(2026,10,31))</f>
        <v>0</v>
      </c>
      <c r="I38" s="45">
        <f>SUMIFS(Senin!$H$7:$H$146,Senin!$C$7:$C$146,$B38,Senin!$A$7:$A$146,"&gt;="&amp;DATE(2026,11,1),Senin!$A$7:$A$146,"&lt;="&amp;DATE(2026,11,30))+SUMIFS(Selasa!$H$7:$H$166,Selasa!$C$7:$C$166,$B38,Selasa!$A$7:$A$166,"&gt;="&amp;DATE(2026,11,1),Selasa!$A$7:$A$166,"&lt;="&amp;DATE(2026,11,30))+SUMIFS(Rabu!$H$7:$H$206,Rabu!$C$7:$C$206,$B38,Rabu!$A$7:$A$206,"&gt;="&amp;DATE(2026,11,1),Rabu!$A$7:$A$206,"&lt;="&amp;DATE(2026,11,30))+SUMIFS(Kamis!$H$7:$H$186,Kamis!$C$7:$C$186,$B38,Kamis!$A$7:$A$186,"&gt;="&amp;DATE(2026,11,1),Kamis!$A$7:$A$186,"&lt;="&amp;DATE(2026,11,30))+SUMIFS(Jumat!$H$7:$H$186,Jumat!$C$7:$C$186,$B38,Jumat!$A$7:$A$186,"&gt;="&amp;DATE(2026,11,1),Jumat!$A$7:$A$186,"&lt;="&amp;DATE(2026,11,30))</f>
        <v>0</v>
      </c>
      <c r="J38" s="45">
        <f>SUMIFS(Senin!$H$7:$H$146,Senin!$C$7:$C$146,$B38,Senin!$A$7:$A$146,"&gt;="&amp;DATE(2026,12,1),Senin!$A$7:$A$146,"&lt;="&amp;DATE(2026,12,31))+SUMIFS(Selasa!$H$7:$H$166,Selasa!$C$7:$C$166,$B38,Selasa!$A$7:$A$166,"&gt;="&amp;DATE(2026,12,1),Selasa!$A$7:$A$166,"&lt;="&amp;DATE(2026,12,31))+SUMIFS(Rabu!$H$7:$H$206,Rabu!$C$7:$C$206,$B38,Rabu!$A$7:$A$206,"&gt;="&amp;DATE(2026,12,1),Rabu!$A$7:$A$206,"&lt;="&amp;DATE(2026,12,31))+SUMIFS(Kamis!$H$7:$H$186,Kamis!$C$7:$C$186,$B38,Kamis!$A$7:$A$186,"&gt;="&amp;DATE(2026,12,1),Kamis!$A$7:$A$186,"&lt;="&amp;DATE(2026,12,31))+SUMIFS(Jumat!$H$7:$H$186,Jumat!$C$7:$C$186,$B38,Jumat!$A$7:$A$186,"&gt;="&amp;DATE(2026,12,1),Jumat!$A$7:$A$186,"&lt;="&amp;DATE(2026,12,31))</f>
        <v>0</v>
      </c>
      <c r="K38" s="45">
        <f>SUMIFS(Senin!$H$7:$H$146,Senin!$C$7:$C$146,$B38,Senin!$A$7:$A$146,"&gt;="&amp;DATE(2026,8,31),Senin!$A$7:$A$146,"&lt;="&amp;DATE(2026,9,6))+SUMIFS(Selasa!$H$7:$H$166,Selasa!$C$7:$C$166,$B38,Selasa!$A$7:$A$166,"&gt;="&amp;DATE(2026,8,31),Selasa!$A$7:$A$166,"&lt;="&amp;DATE(2026,9,6))+SUMIFS(Rabu!$H$7:$H$206,Rabu!$C$7:$C$206,$B38,Rabu!$A$7:$A$206,"&gt;="&amp;DATE(2026,8,31),Rabu!$A$7:$A$206,"&lt;="&amp;DATE(2026,9,6))+SUMIFS(Kamis!$H$7:$H$186,Kamis!$C$7:$C$186,$B38,Kamis!$A$7:$A$186,"&gt;="&amp;DATE(2026,8,31),Kamis!$A$7:$A$186,"&lt;="&amp;DATE(2026,9,6))+SUMIFS(Jumat!$H$7:$H$186,Jumat!$C$7:$C$186,$B38,Jumat!$A$7:$A$186,"&gt;="&amp;DATE(2026,8,31),Jumat!$A$7:$A$186,"&lt;="&amp;DATE(2026,9,6))</f>
        <v>0</v>
      </c>
      <c r="L38" s="45">
        <f>SUMIFS(Senin!$H$7:$H$146,Senin!$C$7:$C$146,$B38,Senin!$A$7:$A$146,"&gt;="&amp;DATE(2026,9,7),Senin!$A$7:$A$146,"&lt;="&amp;DATE(2026,9,13))+SUMIFS(Selasa!$H$7:$H$166,Selasa!$C$7:$C$166,$B38,Selasa!$A$7:$A$166,"&gt;="&amp;DATE(2026,9,7),Selasa!$A$7:$A$166,"&lt;="&amp;DATE(2026,9,13))+SUMIFS(Rabu!$H$7:$H$206,Rabu!$C$7:$C$206,$B38,Rabu!$A$7:$A$206,"&gt;="&amp;DATE(2026,9,7),Rabu!$A$7:$A$206,"&lt;="&amp;DATE(2026,9,13))+SUMIFS(Kamis!$H$7:$H$186,Kamis!$C$7:$C$186,$B38,Kamis!$A$7:$A$186,"&gt;="&amp;DATE(2026,9,7),Kamis!$A$7:$A$186,"&lt;="&amp;DATE(2026,9,13))+SUMIFS(Jumat!$H$7:$H$186,Jumat!$C$7:$C$186,$B38,Jumat!$A$7:$A$186,"&gt;="&amp;DATE(2026,9,7),Jumat!$A$7:$A$186,"&lt;="&amp;DATE(2026,9,13))</f>
        <v>0</v>
      </c>
      <c r="M38" s="45">
        <f>SUMIFS(Senin!$H$7:$H$146,Senin!$C$7:$C$146,$B38,Senin!$A$7:$A$146,"&gt;="&amp;DATE(2026,9,14),Senin!$A$7:$A$146,"&lt;="&amp;DATE(2026,9,20))+SUMIFS(Selasa!$H$7:$H$166,Selasa!$C$7:$C$166,$B38,Selasa!$A$7:$A$166,"&gt;="&amp;DATE(2026,9,14),Selasa!$A$7:$A$166,"&lt;="&amp;DATE(2026,9,20))+SUMIFS(Rabu!$H$7:$H$206,Rabu!$C$7:$C$206,$B38,Rabu!$A$7:$A$206,"&gt;="&amp;DATE(2026,9,14),Rabu!$A$7:$A$206,"&lt;="&amp;DATE(2026,9,20))+SUMIFS(Kamis!$H$7:$H$186,Kamis!$C$7:$C$186,$B38,Kamis!$A$7:$A$186,"&gt;="&amp;DATE(2026,9,14),Kamis!$A$7:$A$186,"&lt;="&amp;DATE(2026,9,20))+SUMIFS(Jumat!$H$7:$H$186,Jumat!$C$7:$C$186,$B38,Jumat!$A$7:$A$186,"&gt;="&amp;DATE(2026,9,14),Jumat!$A$7:$A$186,"&lt;="&amp;DATE(2026,9,20))</f>
        <v>0</v>
      </c>
      <c r="N38" s="45">
        <f>SUMIFS(Senin!$H$7:$H$146,Senin!$C$7:$C$146,$B38,Senin!$A$7:$A$146,"&gt;="&amp;DATE(2026,9,21),Senin!$A$7:$A$146,"&lt;="&amp;DATE(2026,9,27))+SUMIFS(Selasa!$H$7:$H$166,Selasa!$C$7:$C$166,$B38,Selasa!$A$7:$A$166,"&gt;="&amp;DATE(2026,9,21),Selasa!$A$7:$A$166,"&lt;="&amp;DATE(2026,9,27))+SUMIFS(Rabu!$H$7:$H$206,Rabu!$C$7:$C$206,$B38,Rabu!$A$7:$A$206,"&gt;="&amp;DATE(2026,9,21),Rabu!$A$7:$A$206,"&lt;="&amp;DATE(2026,9,27))+SUMIFS(Kamis!$H$7:$H$186,Kamis!$C$7:$C$186,$B38,Kamis!$A$7:$A$186,"&gt;="&amp;DATE(2026,9,21),Kamis!$A$7:$A$186,"&lt;="&amp;DATE(2026,9,27))+SUMIFS(Jumat!$H$7:$H$186,Jumat!$C$7:$C$186,$B38,Jumat!$A$7:$A$186,"&gt;="&amp;DATE(2026,9,21),Jumat!$A$7:$A$186,"&lt;="&amp;DATE(2026,9,27))</f>
        <v>0</v>
      </c>
      <c r="O38" s="45">
        <f>SUMIFS(Senin!$H$7:$H$146,Senin!$C$7:$C$146,$B38,Senin!$A$7:$A$146,"&gt;="&amp;DATE(2026,9,28),Senin!$A$7:$A$146,"&lt;="&amp;DATE(2026,10,4))+SUMIFS(Selasa!$H$7:$H$166,Selasa!$C$7:$C$166,$B38,Selasa!$A$7:$A$166,"&gt;="&amp;DATE(2026,9,28),Selasa!$A$7:$A$166,"&lt;="&amp;DATE(2026,10,4))+SUMIFS(Rabu!$H$7:$H$206,Rabu!$C$7:$C$206,$B38,Rabu!$A$7:$A$206,"&gt;="&amp;DATE(2026,9,28),Rabu!$A$7:$A$206,"&lt;="&amp;DATE(2026,10,4))+SUMIFS(Kamis!$H$7:$H$186,Kamis!$C$7:$C$186,$B38,Kamis!$A$7:$A$186,"&gt;="&amp;DATE(2026,9,28),Kamis!$A$7:$A$186,"&lt;="&amp;DATE(2026,10,4))+SUMIFS(Jumat!$H$7:$H$186,Jumat!$C$7:$C$186,$B38,Jumat!$A$7:$A$186,"&gt;="&amp;DATE(2026,9,28),Jumat!$A$7:$A$186,"&lt;="&amp;DATE(2026,10,4))</f>
        <v>0</v>
      </c>
      <c r="P38" s="45">
        <f>SUMIFS(Senin!$H$7:$H$146,Senin!$C$7:$C$146,$B38,Senin!$A$7:$A$146,"&gt;="&amp;DATE(2026,10,5),Senin!$A$7:$A$146,"&lt;="&amp;DATE(2026,10,11))+SUMIFS(Selasa!$H$7:$H$166,Selasa!$C$7:$C$166,$B38,Selasa!$A$7:$A$166,"&gt;="&amp;DATE(2026,10,5),Selasa!$A$7:$A$166,"&lt;="&amp;DATE(2026,10,11))+SUMIFS(Rabu!$H$7:$H$206,Rabu!$C$7:$C$206,$B38,Rabu!$A$7:$A$206,"&gt;="&amp;DATE(2026,10,5),Rabu!$A$7:$A$206,"&lt;="&amp;DATE(2026,10,11))+SUMIFS(Kamis!$H$7:$H$186,Kamis!$C$7:$C$186,$B38,Kamis!$A$7:$A$186,"&gt;="&amp;DATE(2026,10,5),Kamis!$A$7:$A$186,"&lt;="&amp;DATE(2026,10,11))+SUMIFS(Jumat!$H$7:$H$186,Jumat!$C$7:$C$186,$B38,Jumat!$A$7:$A$186,"&gt;="&amp;DATE(2026,10,5),Jumat!$A$7:$A$186,"&lt;="&amp;DATE(2026,10,11))</f>
        <v>0</v>
      </c>
      <c r="Q38" s="45">
        <f>SUMIFS(Senin!$H$7:$H$146,Senin!$C$7:$C$146,$B38,Senin!$A$7:$A$146,"&gt;="&amp;DATE(2026,10,12),Senin!$A$7:$A$146,"&lt;="&amp;DATE(2026,10,18))+SUMIFS(Selasa!$H$7:$H$166,Selasa!$C$7:$C$166,$B38,Selasa!$A$7:$A$166,"&gt;="&amp;DATE(2026,10,12),Selasa!$A$7:$A$166,"&lt;="&amp;DATE(2026,10,18))+SUMIFS(Rabu!$H$7:$H$206,Rabu!$C$7:$C$206,$B38,Rabu!$A$7:$A$206,"&gt;="&amp;DATE(2026,10,12),Rabu!$A$7:$A$206,"&lt;="&amp;DATE(2026,10,18))+SUMIFS(Kamis!$H$7:$H$186,Kamis!$C$7:$C$186,$B38,Kamis!$A$7:$A$186,"&gt;="&amp;DATE(2026,10,12),Kamis!$A$7:$A$186,"&lt;="&amp;DATE(2026,10,18))+SUMIFS(Jumat!$H$7:$H$186,Jumat!$C$7:$C$186,$B38,Jumat!$A$7:$A$186,"&gt;="&amp;DATE(2026,10,12),Jumat!$A$7:$A$186,"&lt;="&amp;DATE(2026,10,18))</f>
        <v>0</v>
      </c>
      <c r="R38" s="45">
        <f>SUMIFS(Senin!$H$7:$H$146,Senin!$C$7:$C$146,$B38,Senin!$A$7:$A$146,"&gt;="&amp;DATE(2026,10,19),Senin!$A$7:$A$146,"&lt;="&amp;DATE(2026,10,25))+SUMIFS(Selasa!$H$7:$H$166,Selasa!$C$7:$C$166,$B38,Selasa!$A$7:$A$166,"&gt;="&amp;DATE(2026,10,19),Selasa!$A$7:$A$166,"&lt;="&amp;DATE(2026,10,25))+SUMIFS(Rabu!$H$7:$H$206,Rabu!$C$7:$C$206,$B38,Rabu!$A$7:$A$206,"&gt;="&amp;DATE(2026,10,19),Rabu!$A$7:$A$206,"&lt;="&amp;DATE(2026,10,25))+SUMIFS(Kamis!$H$7:$H$186,Kamis!$C$7:$C$186,$B38,Kamis!$A$7:$A$186,"&gt;="&amp;DATE(2026,10,19),Kamis!$A$7:$A$186,"&lt;="&amp;DATE(2026,10,25))+SUMIFS(Jumat!$H$7:$H$186,Jumat!$C$7:$C$186,$B38,Jumat!$A$7:$A$186,"&gt;="&amp;DATE(2026,10,19),Jumat!$A$7:$A$186,"&lt;="&amp;DATE(2026,10,25))</f>
        <v>0</v>
      </c>
      <c r="S38" s="45">
        <f>SUMIFS(Senin!$H$7:$H$146,Senin!$C$7:$C$146,$B38,Senin!$A$7:$A$146,"&gt;="&amp;DATE(2026,10,26),Senin!$A$7:$A$146,"&lt;="&amp;DATE(2026,11,1))+SUMIFS(Selasa!$H$7:$H$166,Selasa!$C$7:$C$166,$B38,Selasa!$A$7:$A$166,"&gt;="&amp;DATE(2026,10,26),Selasa!$A$7:$A$166,"&lt;="&amp;DATE(2026,11,1))+SUMIFS(Rabu!$H$7:$H$206,Rabu!$C$7:$C$206,$B38,Rabu!$A$7:$A$206,"&gt;="&amp;DATE(2026,10,26),Rabu!$A$7:$A$206,"&lt;="&amp;DATE(2026,11,1))+SUMIFS(Kamis!$H$7:$H$186,Kamis!$C$7:$C$186,$B38,Kamis!$A$7:$A$186,"&gt;="&amp;DATE(2026,10,26),Kamis!$A$7:$A$186,"&lt;="&amp;DATE(2026,11,1))+SUMIFS(Jumat!$H$7:$H$186,Jumat!$C$7:$C$186,$B38,Jumat!$A$7:$A$186,"&gt;="&amp;DATE(2026,10,26),Jumat!$A$7:$A$186,"&lt;="&amp;DATE(2026,11,1))</f>
        <v>0</v>
      </c>
      <c r="T38" s="45">
        <f>SUMIFS(Senin!$H$7:$H$146,Senin!$C$7:$C$146,$B38,Senin!$A$7:$A$146,"&gt;="&amp;DATE(2026,11,2),Senin!$A$7:$A$146,"&lt;="&amp;DATE(2026,11,8))+SUMIFS(Selasa!$H$7:$H$166,Selasa!$C$7:$C$166,$B38,Selasa!$A$7:$A$166,"&gt;="&amp;DATE(2026,11,2),Selasa!$A$7:$A$166,"&lt;="&amp;DATE(2026,11,8))+SUMIFS(Rabu!$H$7:$H$206,Rabu!$C$7:$C$206,$B38,Rabu!$A$7:$A$206,"&gt;="&amp;DATE(2026,11,2),Rabu!$A$7:$A$206,"&lt;="&amp;DATE(2026,11,8))+SUMIFS(Kamis!$H$7:$H$186,Kamis!$C$7:$C$186,$B38,Kamis!$A$7:$A$186,"&gt;="&amp;DATE(2026,11,2),Kamis!$A$7:$A$186,"&lt;="&amp;DATE(2026,11,8))+SUMIFS(Jumat!$H$7:$H$186,Jumat!$C$7:$C$186,$B38,Jumat!$A$7:$A$186,"&gt;="&amp;DATE(2026,11,2),Jumat!$A$7:$A$186,"&lt;="&amp;DATE(2026,11,8))</f>
        <v>0</v>
      </c>
      <c r="U38" s="45">
        <f>SUMIFS(Senin!$H$7:$H$146,Senin!$C$7:$C$146,$B38,Senin!$A$7:$A$146,"&gt;="&amp;DATE(2026,11,9),Senin!$A$7:$A$146,"&lt;="&amp;DATE(2026,11,15))+SUMIFS(Selasa!$H$7:$H$166,Selasa!$C$7:$C$166,$B38,Selasa!$A$7:$A$166,"&gt;="&amp;DATE(2026,11,9),Selasa!$A$7:$A$166,"&lt;="&amp;DATE(2026,11,15))+SUMIFS(Rabu!$H$7:$H$206,Rabu!$C$7:$C$206,$B38,Rabu!$A$7:$A$206,"&gt;="&amp;DATE(2026,11,9),Rabu!$A$7:$A$206,"&lt;="&amp;DATE(2026,11,15))+SUMIFS(Kamis!$H$7:$H$186,Kamis!$C$7:$C$186,$B38,Kamis!$A$7:$A$186,"&gt;="&amp;DATE(2026,11,9),Kamis!$A$7:$A$186,"&lt;="&amp;DATE(2026,11,15))+SUMIFS(Jumat!$H$7:$H$186,Jumat!$C$7:$C$186,$B38,Jumat!$A$7:$A$186,"&gt;="&amp;DATE(2026,11,9),Jumat!$A$7:$A$186,"&lt;="&amp;DATE(2026,11,15))</f>
        <v>0</v>
      </c>
      <c r="V38" s="45">
        <f>SUMIFS(Senin!$H$7:$H$146,Senin!$C$7:$C$146,$B38,Senin!$A$7:$A$146,"&gt;="&amp;DATE(2026,11,16),Senin!$A$7:$A$146,"&lt;="&amp;DATE(2026,11,22))+SUMIFS(Selasa!$H$7:$H$166,Selasa!$C$7:$C$166,$B38,Selasa!$A$7:$A$166,"&gt;="&amp;DATE(2026,11,16),Selasa!$A$7:$A$166,"&lt;="&amp;DATE(2026,11,22))+SUMIFS(Rabu!$H$7:$H$206,Rabu!$C$7:$C$206,$B38,Rabu!$A$7:$A$206,"&gt;="&amp;DATE(2026,11,16),Rabu!$A$7:$A$206,"&lt;="&amp;DATE(2026,11,22))+SUMIFS(Kamis!$H$7:$H$186,Kamis!$C$7:$C$186,$B38,Kamis!$A$7:$A$186,"&gt;="&amp;DATE(2026,11,16),Kamis!$A$7:$A$186,"&lt;="&amp;DATE(2026,11,22))+SUMIFS(Jumat!$H$7:$H$186,Jumat!$C$7:$C$186,$B38,Jumat!$A$7:$A$186,"&gt;="&amp;DATE(2026,11,16),Jumat!$A$7:$A$186,"&lt;="&amp;DATE(2026,11,22))</f>
        <v>0</v>
      </c>
      <c r="W38" s="45">
        <f>SUMIFS(Senin!$H$7:$H$146,Senin!$C$7:$C$146,$B38,Senin!$A$7:$A$146,"&gt;="&amp;DATE(2026,11,23),Senin!$A$7:$A$146,"&lt;="&amp;DATE(2026,11,29))+SUMIFS(Selasa!$H$7:$H$166,Selasa!$C$7:$C$166,$B38,Selasa!$A$7:$A$166,"&gt;="&amp;DATE(2026,11,23),Selasa!$A$7:$A$166,"&lt;="&amp;DATE(2026,11,29))+SUMIFS(Rabu!$H$7:$H$206,Rabu!$C$7:$C$206,$B38,Rabu!$A$7:$A$206,"&gt;="&amp;DATE(2026,11,23),Rabu!$A$7:$A$206,"&lt;="&amp;DATE(2026,11,29))+SUMIFS(Kamis!$H$7:$H$186,Kamis!$C$7:$C$186,$B38,Kamis!$A$7:$A$186,"&gt;="&amp;DATE(2026,11,23),Kamis!$A$7:$A$186,"&lt;="&amp;DATE(2026,11,29))+SUMIFS(Jumat!$H$7:$H$186,Jumat!$C$7:$C$186,$B38,Jumat!$A$7:$A$186,"&gt;="&amp;DATE(2026,11,23),Jumat!$A$7:$A$186,"&lt;="&amp;DATE(2026,11,29))</f>
        <v>0</v>
      </c>
      <c r="X38" s="45">
        <f>SUMIFS(Senin!$H$7:$H$146,Senin!$C$7:$C$146,$B38,Senin!$A$7:$A$146,"&gt;="&amp;DATE(2026,11,30),Senin!$A$7:$A$146,"&lt;="&amp;DATE(2026,12,6))+SUMIFS(Selasa!$H$7:$H$166,Selasa!$C$7:$C$166,$B38,Selasa!$A$7:$A$166,"&gt;="&amp;DATE(2026,11,30),Selasa!$A$7:$A$166,"&lt;="&amp;DATE(2026,12,6))+SUMIFS(Rabu!$H$7:$H$206,Rabu!$C$7:$C$206,$B38,Rabu!$A$7:$A$206,"&gt;="&amp;DATE(2026,11,30),Rabu!$A$7:$A$206,"&lt;="&amp;DATE(2026,12,6))+SUMIFS(Kamis!$H$7:$H$186,Kamis!$C$7:$C$186,$B38,Kamis!$A$7:$A$186,"&gt;="&amp;DATE(2026,11,30),Kamis!$A$7:$A$186,"&lt;="&amp;DATE(2026,12,6))+SUMIFS(Jumat!$H$7:$H$186,Jumat!$C$7:$C$186,$B38,Jumat!$A$7:$A$186,"&gt;="&amp;DATE(2026,11,30),Jumat!$A$7:$A$186,"&lt;="&amp;DATE(2026,12,6))</f>
        <v>0</v>
      </c>
      <c r="Y38" s="45">
        <f>SUMIFS(Senin!$H$7:$H$146,Senin!$C$7:$C$146,$B38,Senin!$A$7:$A$146,"&gt;="&amp;DATE(2026,12,7),Senin!$A$7:$A$146,"&lt;="&amp;DATE(2026,12,13))+SUMIFS(Selasa!$H$7:$H$166,Selasa!$C$7:$C$166,$B38,Selasa!$A$7:$A$166,"&gt;="&amp;DATE(2026,12,7),Selasa!$A$7:$A$166,"&lt;="&amp;DATE(2026,12,13))+SUMIFS(Rabu!$H$7:$H$206,Rabu!$C$7:$C$206,$B38,Rabu!$A$7:$A$206,"&gt;="&amp;DATE(2026,12,7),Rabu!$A$7:$A$206,"&lt;="&amp;DATE(2026,12,13))+SUMIFS(Kamis!$H$7:$H$186,Kamis!$C$7:$C$186,$B38,Kamis!$A$7:$A$186,"&gt;="&amp;DATE(2026,12,7),Kamis!$A$7:$A$186,"&lt;="&amp;DATE(2026,12,13))+SUMIFS(Jumat!$H$7:$H$186,Jumat!$C$7:$C$186,$B38,Jumat!$A$7:$A$186,"&gt;="&amp;DATE(2026,12,7),Jumat!$A$7:$A$186,"&lt;="&amp;DATE(2026,12,13))</f>
        <v>0</v>
      </c>
      <c r="Z38" s="45">
        <f>SUMIFS(Senin!$H$7:$H$146,Senin!$C$7:$C$146,$B38,Senin!$A$7:$A$146,"&gt;="&amp;DATE(2026,12,14),Senin!$A$7:$A$146,"&lt;="&amp;DATE(2026,12,20))+SUMIFS(Selasa!$H$7:$H$166,Selasa!$C$7:$C$166,$B38,Selasa!$A$7:$A$166,"&gt;="&amp;DATE(2026,12,14),Selasa!$A$7:$A$166,"&lt;="&amp;DATE(2026,12,20))+SUMIFS(Rabu!$H$7:$H$206,Rabu!$C$7:$C$206,$B38,Rabu!$A$7:$A$206,"&gt;="&amp;DATE(2026,12,14),Rabu!$A$7:$A$206,"&lt;="&amp;DATE(2026,12,20))+SUMIFS(Kamis!$H$7:$H$186,Kamis!$C$7:$C$186,$B38,Kamis!$A$7:$A$186,"&gt;="&amp;DATE(2026,12,14),Kamis!$A$7:$A$186,"&lt;="&amp;DATE(2026,12,20))+SUMIFS(Jumat!$H$7:$H$186,Jumat!$C$7:$C$186,$B38,Jumat!$A$7:$A$186,"&gt;="&amp;DATE(2026,12,14),Jumat!$A$7:$A$186,"&lt;="&amp;DATE(2026,12,20))</f>
        <v>0</v>
      </c>
      <c r="AA38" s="45">
        <f>SUMIFS(Senin!$H$7:$H$146,Senin!$C$7:$C$146,$B38,Senin!$A$7:$A$146,"&gt;="&amp;DATE(2026,12,21),Senin!$A$7:$A$146,"&lt;="&amp;DATE(2026,12,27))+SUMIFS(Selasa!$H$7:$H$166,Selasa!$C$7:$C$166,$B38,Selasa!$A$7:$A$166,"&gt;="&amp;DATE(2026,12,21),Selasa!$A$7:$A$166,"&lt;="&amp;DATE(2026,12,27))+SUMIFS(Rabu!$H$7:$H$206,Rabu!$C$7:$C$206,$B38,Rabu!$A$7:$A$206,"&gt;="&amp;DATE(2026,12,21),Rabu!$A$7:$A$206,"&lt;="&amp;DATE(2026,12,27))+SUMIFS(Kamis!$H$7:$H$186,Kamis!$C$7:$C$186,$B38,Kamis!$A$7:$A$186,"&gt;="&amp;DATE(2026,12,21),Kamis!$A$7:$A$186,"&lt;="&amp;DATE(2026,12,27))+SUMIFS(Jumat!$H$7:$H$186,Jumat!$C$7:$C$186,$B38,Jumat!$A$7:$A$186,"&gt;="&amp;DATE(2026,12,21),Jumat!$A$7:$A$186,"&lt;="&amp;DATE(2026,12,27))</f>
        <v>0</v>
      </c>
      <c r="AB38" s="45">
        <f>SUMIFS(Senin!$H$7:$H$146,Senin!$C$7:$C$146,$B38,Senin!$A$7:$A$146,"&gt;="&amp;DATE(2026,12,28),Senin!$A$7:$A$146,"&lt;="&amp;DATE(2027,1,3))+SUMIFS(Selasa!$H$7:$H$166,Selasa!$C$7:$C$166,$B38,Selasa!$A$7:$A$166,"&gt;="&amp;DATE(2026,12,28),Selasa!$A$7:$A$166,"&lt;="&amp;DATE(2027,1,3))+SUMIFS(Rabu!$H$7:$H$206,Rabu!$C$7:$C$206,$B38,Rabu!$A$7:$A$206,"&gt;="&amp;DATE(2026,12,28),Rabu!$A$7:$A$206,"&lt;="&amp;DATE(2027,1,3))+SUMIFS(Kamis!$H$7:$H$186,Kamis!$C$7:$C$186,$B38,Kamis!$A$7:$A$186,"&gt;="&amp;DATE(2026,12,28),Kamis!$A$7:$A$186,"&lt;="&amp;DATE(2027,1,3))+SUMIFS(Jumat!$H$7:$H$186,Jumat!$C$7:$C$186,$B38,Jumat!$A$7:$A$186,"&gt;="&amp;DATE(2026,12,28),Jumat!$A$7:$A$186,"&lt;="&amp;DATE(2027,1,3))</f>
        <v>0</v>
      </c>
      <c r="AC38" s="45">
        <f>SUMIFS(Senin!$H$7:$H$146,Senin!$C$7:$C$146,$B38,Senin!$A$7:$A$146,"&gt;="&amp;DATE(2027,1,4),Senin!$A$7:$A$146,"&lt;="&amp;DATE(2027,1,10))+SUMIFS(Selasa!$H$7:$H$166,Selasa!$C$7:$C$166,$B38,Selasa!$A$7:$A$166,"&gt;="&amp;DATE(2027,1,4),Selasa!$A$7:$A$166,"&lt;="&amp;DATE(2027,1,10))+SUMIFS(Rabu!$H$7:$H$206,Rabu!$C$7:$C$206,$B38,Rabu!$A$7:$A$206,"&gt;="&amp;DATE(2027,1,4),Rabu!$A$7:$A$206,"&lt;="&amp;DATE(2027,1,10))+SUMIFS(Kamis!$H$7:$H$186,Kamis!$C$7:$C$186,$B38,Kamis!$A$7:$A$186,"&gt;="&amp;DATE(2027,1,4),Kamis!$A$7:$A$186,"&lt;="&amp;DATE(2027,1,10))+SUMIFS(Jumat!$H$7:$H$186,Jumat!$C$7:$C$186,$B38,Jumat!$A$7:$A$186,"&gt;="&amp;DATE(2027,1,4),Jumat!$A$7:$A$186,"&lt;="&amp;DATE(2027,1,10))</f>
        <v>0</v>
      </c>
      <c r="AD38" s="45">
        <f>SUMIFS(Senin!$H$7:$H$146,Senin!$C$7:$C$146,$B38,Senin!$A$7:$A$146,"&gt;="&amp;DATE(2027,1,11),Senin!$A$7:$A$146,"&lt;="&amp;DATE(2027,1,17))+SUMIFS(Selasa!$H$7:$H$166,Selasa!$C$7:$C$166,$B38,Selasa!$A$7:$A$166,"&gt;="&amp;DATE(2027,1,11),Selasa!$A$7:$A$166,"&lt;="&amp;DATE(2027,1,17))+SUMIFS(Rabu!$H$7:$H$206,Rabu!$C$7:$C$206,$B38,Rabu!$A$7:$A$206,"&gt;="&amp;DATE(2027,1,11),Rabu!$A$7:$A$206,"&lt;="&amp;DATE(2027,1,17))+SUMIFS(Kamis!$H$7:$H$186,Kamis!$C$7:$C$186,$B38,Kamis!$A$7:$A$186,"&gt;="&amp;DATE(2027,1,11),Kamis!$A$7:$A$186,"&lt;="&amp;DATE(2027,1,17))+SUMIFS(Jumat!$H$7:$H$186,Jumat!$C$7:$C$186,$B38,Jumat!$A$7:$A$186,"&gt;="&amp;DATE(2027,1,11),Jumat!$A$7:$A$186,"&lt;="&amp;DATE(2027,1,17))</f>
        <v>0</v>
      </c>
    </row>
    <row r="39" ht="15.75" customHeight="1">
      <c r="A39" s="62">
        <v>36.0</v>
      </c>
      <c r="B39" s="26" t="s">
        <v>42</v>
      </c>
      <c r="C39" s="41">
        <f>COUNTIFS(Senin!$C$7:$C$146,$B39,Senin!$G$7:$G$146,"Ya",Senin!$E$7:$E$146,"&lt;&gt;")+COUNTIFS(Selasa!$C$7:$C$166,$B39,Selasa!$G$7:$G$166,"Ya",Selasa!$E$7:$E$166,"&lt;&gt;")+COUNTIFS(Rabu!$C$7:$C$206,$B39,Rabu!$G$7:$G$206,"Ya",Rabu!$E$7:$E$206,"&lt;&gt;")+COUNTIFS(Kamis!$C$7:$C$186,$B39,Kamis!$G$7:$G$186,"Ya",Kamis!$E$7:$E$186,"&lt;&gt;")+COUNTIFS(Jumat!$C$7:$C$186,$B39,Jumat!$G$7:$G$186,"Ya",Jumat!$E$7:$E$186,"&lt;&gt;")</f>
        <v>0</v>
      </c>
      <c r="D39" s="41">
        <f>COUNTIFS(Senin!$C$7:$C$146,$B39,Senin!$G$7:$G$146,"Ya",Senin!$E$7:$E$146,"")+COUNTIFS(Selasa!$C$7:$C$166,$B39,Selasa!$G$7:$G$166,"Ya",Selasa!$E$7:$E$166,"")+COUNTIFS(Rabu!$C$7:$C$206,$B39,Rabu!$G$7:$G$206,"Ya",Rabu!$E$7:$E$206,"")+COUNTIFS(Kamis!$C$7:$C$186,$B39,Kamis!$G$7:$G$186,"Ya",Kamis!$E$7:$E$186,"")+COUNTIFS(Jumat!$C$7:$C$186,$B39,Jumat!$G$7:$G$186,"Ya",Jumat!$E$7:$E$186,"")</f>
        <v>0</v>
      </c>
      <c r="E39" s="45">
        <f>SUMIFS(Senin!$H$7:$H$146,Senin!$C$7:$C$146,$B39,Senin!$A$7:$A$146,"&gt;="&amp;DATE(2026,8,1),Senin!$A$7:$A$146,"&lt;="&amp;DATE(2026,12,31))+SUMIFS(Selasa!$H$7:$H$166,Selasa!$C$7:$C$166,$B39,Selasa!$A$7:$A$166,"&gt;="&amp;DATE(2026,8,1),Selasa!$A$7:$A$166,"&lt;="&amp;DATE(2026,12,31))+SUMIFS(Rabu!$H$7:$H$206,Rabu!$C$7:$C$206,$B39,Rabu!$A$7:$A$206,"&gt;="&amp;DATE(2026,8,1),Rabu!$A$7:$A$206,"&lt;="&amp;DATE(2026,12,31))+SUMIFS(Kamis!$H$7:$H$186,Kamis!$C$7:$C$186,$B39,Kamis!$A$7:$A$186,"&gt;="&amp;DATE(2026,8,1),Kamis!$A$7:$A$186,"&lt;="&amp;DATE(2026,12,31))+SUMIFS(Jumat!$H$7:$H$186,Jumat!$C$7:$C$186,$B39,Jumat!$A$7:$A$186,"&gt;="&amp;DATE(2026,8,1),Jumat!$A$7:$A$186,"&lt;="&amp;DATE(2026,12,31))</f>
        <v>0</v>
      </c>
      <c r="F39" s="45">
        <f>SUMIFS(Senin!$H$7:$H$146,Senin!$C$7:$C$146,$B39,Senin!$A$7:$A$146,"&gt;="&amp;DATE(2026,8,1),Senin!$A$7:$A$146,"&lt;="&amp;DATE(2026,8,31))+SUMIFS(Selasa!$H$7:$H$166,Selasa!$C$7:$C$166,$B39,Selasa!$A$7:$A$166,"&gt;="&amp;DATE(2026,8,1),Selasa!$A$7:$A$166,"&lt;="&amp;DATE(2026,8,31))+SUMIFS(Rabu!$H$7:$H$206,Rabu!$C$7:$C$206,$B39,Rabu!$A$7:$A$206,"&gt;="&amp;DATE(2026,8,1),Rabu!$A$7:$A$206,"&lt;="&amp;DATE(2026,8,31))+SUMIFS(Kamis!$H$7:$H$186,Kamis!$C$7:$C$186,$B39,Kamis!$A$7:$A$186,"&gt;="&amp;DATE(2026,8,1),Kamis!$A$7:$A$186,"&lt;="&amp;DATE(2026,8,31))+SUMIFS(Jumat!$H$7:$H$186,Jumat!$C$7:$C$186,$B39,Jumat!$A$7:$A$186,"&gt;="&amp;DATE(2026,8,1),Jumat!$A$7:$A$186,"&lt;="&amp;DATE(2026,8,31))</f>
        <v>0</v>
      </c>
      <c r="G39" s="45">
        <f>SUMIFS(Senin!$H$7:$H$146,Senin!$C$7:$C$146,$B39,Senin!$A$7:$A$146,"&gt;="&amp;DATE(2026,9,1),Senin!$A$7:$A$146,"&lt;="&amp;DATE(2026,9,30))+SUMIFS(Selasa!$H$7:$H$166,Selasa!$C$7:$C$166,$B39,Selasa!$A$7:$A$166,"&gt;="&amp;DATE(2026,9,1),Selasa!$A$7:$A$166,"&lt;="&amp;DATE(2026,9,30))+SUMIFS(Rabu!$H$7:$H$206,Rabu!$C$7:$C$206,$B39,Rabu!$A$7:$A$206,"&gt;="&amp;DATE(2026,9,1),Rabu!$A$7:$A$206,"&lt;="&amp;DATE(2026,9,30))+SUMIFS(Kamis!$H$7:$H$186,Kamis!$C$7:$C$186,$B39,Kamis!$A$7:$A$186,"&gt;="&amp;DATE(2026,9,1),Kamis!$A$7:$A$186,"&lt;="&amp;DATE(2026,9,30))+SUMIFS(Jumat!$H$7:$H$186,Jumat!$C$7:$C$186,$B39,Jumat!$A$7:$A$186,"&gt;="&amp;DATE(2026,9,1),Jumat!$A$7:$A$186,"&lt;="&amp;DATE(2026,9,30))</f>
        <v>0</v>
      </c>
      <c r="H39" s="45">
        <f>SUMIFS(Senin!$H$7:$H$146,Senin!$C$7:$C$146,$B39,Senin!$A$7:$A$146,"&gt;="&amp;DATE(2026,10,1),Senin!$A$7:$A$146,"&lt;="&amp;DATE(2026,10,31))+SUMIFS(Selasa!$H$7:$H$166,Selasa!$C$7:$C$166,$B39,Selasa!$A$7:$A$166,"&gt;="&amp;DATE(2026,10,1),Selasa!$A$7:$A$166,"&lt;="&amp;DATE(2026,10,31))+SUMIFS(Rabu!$H$7:$H$206,Rabu!$C$7:$C$206,$B39,Rabu!$A$7:$A$206,"&gt;="&amp;DATE(2026,10,1),Rabu!$A$7:$A$206,"&lt;="&amp;DATE(2026,10,31))+SUMIFS(Kamis!$H$7:$H$186,Kamis!$C$7:$C$186,$B39,Kamis!$A$7:$A$186,"&gt;="&amp;DATE(2026,10,1),Kamis!$A$7:$A$186,"&lt;="&amp;DATE(2026,10,31))+SUMIFS(Jumat!$H$7:$H$186,Jumat!$C$7:$C$186,$B39,Jumat!$A$7:$A$186,"&gt;="&amp;DATE(2026,10,1),Jumat!$A$7:$A$186,"&lt;="&amp;DATE(2026,10,31))</f>
        <v>0</v>
      </c>
      <c r="I39" s="45">
        <f>SUMIFS(Senin!$H$7:$H$146,Senin!$C$7:$C$146,$B39,Senin!$A$7:$A$146,"&gt;="&amp;DATE(2026,11,1),Senin!$A$7:$A$146,"&lt;="&amp;DATE(2026,11,30))+SUMIFS(Selasa!$H$7:$H$166,Selasa!$C$7:$C$166,$B39,Selasa!$A$7:$A$166,"&gt;="&amp;DATE(2026,11,1),Selasa!$A$7:$A$166,"&lt;="&amp;DATE(2026,11,30))+SUMIFS(Rabu!$H$7:$H$206,Rabu!$C$7:$C$206,$B39,Rabu!$A$7:$A$206,"&gt;="&amp;DATE(2026,11,1),Rabu!$A$7:$A$206,"&lt;="&amp;DATE(2026,11,30))+SUMIFS(Kamis!$H$7:$H$186,Kamis!$C$7:$C$186,$B39,Kamis!$A$7:$A$186,"&gt;="&amp;DATE(2026,11,1),Kamis!$A$7:$A$186,"&lt;="&amp;DATE(2026,11,30))+SUMIFS(Jumat!$H$7:$H$186,Jumat!$C$7:$C$186,$B39,Jumat!$A$7:$A$186,"&gt;="&amp;DATE(2026,11,1),Jumat!$A$7:$A$186,"&lt;="&amp;DATE(2026,11,30))</f>
        <v>0</v>
      </c>
      <c r="J39" s="45">
        <f>SUMIFS(Senin!$H$7:$H$146,Senin!$C$7:$C$146,$B39,Senin!$A$7:$A$146,"&gt;="&amp;DATE(2026,12,1),Senin!$A$7:$A$146,"&lt;="&amp;DATE(2026,12,31))+SUMIFS(Selasa!$H$7:$H$166,Selasa!$C$7:$C$166,$B39,Selasa!$A$7:$A$166,"&gt;="&amp;DATE(2026,12,1),Selasa!$A$7:$A$166,"&lt;="&amp;DATE(2026,12,31))+SUMIFS(Rabu!$H$7:$H$206,Rabu!$C$7:$C$206,$B39,Rabu!$A$7:$A$206,"&gt;="&amp;DATE(2026,12,1),Rabu!$A$7:$A$206,"&lt;="&amp;DATE(2026,12,31))+SUMIFS(Kamis!$H$7:$H$186,Kamis!$C$7:$C$186,$B39,Kamis!$A$7:$A$186,"&gt;="&amp;DATE(2026,12,1),Kamis!$A$7:$A$186,"&lt;="&amp;DATE(2026,12,31))+SUMIFS(Jumat!$H$7:$H$186,Jumat!$C$7:$C$186,$B39,Jumat!$A$7:$A$186,"&gt;="&amp;DATE(2026,12,1),Jumat!$A$7:$A$186,"&lt;="&amp;DATE(2026,12,31))</f>
        <v>0</v>
      </c>
      <c r="K39" s="45">
        <f>SUMIFS(Senin!$H$7:$H$146,Senin!$C$7:$C$146,$B39,Senin!$A$7:$A$146,"&gt;="&amp;DATE(2026,8,31),Senin!$A$7:$A$146,"&lt;="&amp;DATE(2026,9,6))+SUMIFS(Selasa!$H$7:$H$166,Selasa!$C$7:$C$166,$B39,Selasa!$A$7:$A$166,"&gt;="&amp;DATE(2026,8,31),Selasa!$A$7:$A$166,"&lt;="&amp;DATE(2026,9,6))+SUMIFS(Rabu!$H$7:$H$206,Rabu!$C$7:$C$206,$B39,Rabu!$A$7:$A$206,"&gt;="&amp;DATE(2026,8,31),Rabu!$A$7:$A$206,"&lt;="&amp;DATE(2026,9,6))+SUMIFS(Kamis!$H$7:$H$186,Kamis!$C$7:$C$186,$B39,Kamis!$A$7:$A$186,"&gt;="&amp;DATE(2026,8,31),Kamis!$A$7:$A$186,"&lt;="&amp;DATE(2026,9,6))+SUMIFS(Jumat!$H$7:$H$186,Jumat!$C$7:$C$186,$B39,Jumat!$A$7:$A$186,"&gt;="&amp;DATE(2026,8,31),Jumat!$A$7:$A$186,"&lt;="&amp;DATE(2026,9,6))</f>
        <v>0</v>
      </c>
      <c r="L39" s="45">
        <f>SUMIFS(Senin!$H$7:$H$146,Senin!$C$7:$C$146,$B39,Senin!$A$7:$A$146,"&gt;="&amp;DATE(2026,9,7),Senin!$A$7:$A$146,"&lt;="&amp;DATE(2026,9,13))+SUMIFS(Selasa!$H$7:$H$166,Selasa!$C$7:$C$166,$B39,Selasa!$A$7:$A$166,"&gt;="&amp;DATE(2026,9,7),Selasa!$A$7:$A$166,"&lt;="&amp;DATE(2026,9,13))+SUMIFS(Rabu!$H$7:$H$206,Rabu!$C$7:$C$206,$B39,Rabu!$A$7:$A$206,"&gt;="&amp;DATE(2026,9,7),Rabu!$A$7:$A$206,"&lt;="&amp;DATE(2026,9,13))+SUMIFS(Kamis!$H$7:$H$186,Kamis!$C$7:$C$186,$B39,Kamis!$A$7:$A$186,"&gt;="&amp;DATE(2026,9,7),Kamis!$A$7:$A$186,"&lt;="&amp;DATE(2026,9,13))+SUMIFS(Jumat!$H$7:$H$186,Jumat!$C$7:$C$186,$B39,Jumat!$A$7:$A$186,"&gt;="&amp;DATE(2026,9,7),Jumat!$A$7:$A$186,"&lt;="&amp;DATE(2026,9,13))</f>
        <v>0</v>
      </c>
      <c r="M39" s="45">
        <f>SUMIFS(Senin!$H$7:$H$146,Senin!$C$7:$C$146,$B39,Senin!$A$7:$A$146,"&gt;="&amp;DATE(2026,9,14),Senin!$A$7:$A$146,"&lt;="&amp;DATE(2026,9,20))+SUMIFS(Selasa!$H$7:$H$166,Selasa!$C$7:$C$166,$B39,Selasa!$A$7:$A$166,"&gt;="&amp;DATE(2026,9,14),Selasa!$A$7:$A$166,"&lt;="&amp;DATE(2026,9,20))+SUMIFS(Rabu!$H$7:$H$206,Rabu!$C$7:$C$206,$B39,Rabu!$A$7:$A$206,"&gt;="&amp;DATE(2026,9,14),Rabu!$A$7:$A$206,"&lt;="&amp;DATE(2026,9,20))+SUMIFS(Kamis!$H$7:$H$186,Kamis!$C$7:$C$186,$B39,Kamis!$A$7:$A$186,"&gt;="&amp;DATE(2026,9,14),Kamis!$A$7:$A$186,"&lt;="&amp;DATE(2026,9,20))+SUMIFS(Jumat!$H$7:$H$186,Jumat!$C$7:$C$186,$B39,Jumat!$A$7:$A$186,"&gt;="&amp;DATE(2026,9,14),Jumat!$A$7:$A$186,"&lt;="&amp;DATE(2026,9,20))</f>
        <v>0</v>
      </c>
      <c r="N39" s="45">
        <f>SUMIFS(Senin!$H$7:$H$146,Senin!$C$7:$C$146,$B39,Senin!$A$7:$A$146,"&gt;="&amp;DATE(2026,9,21),Senin!$A$7:$A$146,"&lt;="&amp;DATE(2026,9,27))+SUMIFS(Selasa!$H$7:$H$166,Selasa!$C$7:$C$166,$B39,Selasa!$A$7:$A$166,"&gt;="&amp;DATE(2026,9,21),Selasa!$A$7:$A$166,"&lt;="&amp;DATE(2026,9,27))+SUMIFS(Rabu!$H$7:$H$206,Rabu!$C$7:$C$206,$B39,Rabu!$A$7:$A$206,"&gt;="&amp;DATE(2026,9,21),Rabu!$A$7:$A$206,"&lt;="&amp;DATE(2026,9,27))+SUMIFS(Kamis!$H$7:$H$186,Kamis!$C$7:$C$186,$B39,Kamis!$A$7:$A$186,"&gt;="&amp;DATE(2026,9,21),Kamis!$A$7:$A$186,"&lt;="&amp;DATE(2026,9,27))+SUMIFS(Jumat!$H$7:$H$186,Jumat!$C$7:$C$186,$B39,Jumat!$A$7:$A$186,"&gt;="&amp;DATE(2026,9,21),Jumat!$A$7:$A$186,"&lt;="&amp;DATE(2026,9,27))</f>
        <v>0</v>
      </c>
      <c r="O39" s="45">
        <f>SUMIFS(Senin!$H$7:$H$146,Senin!$C$7:$C$146,$B39,Senin!$A$7:$A$146,"&gt;="&amp;DATE(2026,9,28),Senin!$A$7:$A$146,"&lt;="&amp;DATE(2026,10,4))+SUMIFS(Selasa!$H$7:$H$166,Selasa!$C$7:$C$166,$B39,Selasa!$A$7:$A$166,"&gt;="&amp;DATE(2026,9,28),Selasa!$A$7:$A$166,"&lt;="&amp;DATE(2026,10,4))+SUMIFS(Rabu!$H$7:$H$206,Rabu!$C$7:$C$206,$B39,Rabu!$A$7:$A$206,"&gt;="&amp;DATE(2026,9,28),Rabu!$A$7:$A$206,"&lt;="&amp;DATE(2026,10,4))+SUMIFS(Kamis!$H$7:$H$186,Kamis!$C$7:$C$186,$B39,Kamis!$A$7:$A$186,"&gt;="&amp;DATE(2026,9,28),Kamis!$A$7:$A$186,"&lt;="&amp;DATE(2026,10,4))+SUMIFS(Jumat!$H$7:$H$186,Jumat!$C$7:$C$186,$B39,Jumat!$A$7:$A$186,"&gt;="&amp;DATE(2026,9,28),Jumat!$A$7:$A$186,"&lt;="&amp;DATE(2026,10,4))</f>
        <v>0</v>
      </c>
      <c r="P39" s="45">
        <f>SUMIFS(Senin!$H$7:$H$146,Senin!$C$7:$C$146,$B39,Senin!$A$7:$A$146,"&gt;="&amp;DATE(2026,10,5),Senin!$A$7:$A$146,"&lt;="&amp;DATE(2026,10,11))+SUMIFS(Selasa!$H$7:$H$166,Selasa!$C$7:$C$166,$B39,Selasa!$A$7:$A$166,"&gt;="&amp;DATE(2026,10,5),Selasa!$A$7:$A$166,"&lt;="&amp;DATE(2026,10,11))+SUMIFS(Rabu!$H$7:$H$206,Rabu!$C$7:$C$206,$B39,Rabu!$A$7:$A$206,"&gt;="&amp;DATE(2026,10,5),Rabu!$A$7:$A$206,"&lt;="&amp;DATE(2026,10,11))+SUMIFS(Kamis!$H$7:$H$186,Kamis!$C$7:$C$186,$B39,Kamis!$A$7:$A$186,"&gt;="&amp;DATE(2026,10,5),Kamis!$A$7:$A$186,"&lt;="&amp;DATE(2026,10,11))+SUMIFS(Jumat!$H$7:$H$186,Jumat!$C$7:$C$186,$B39,Jumat!$A$7:$A$186,"&gt;="&amp;DATE(2026,10,5),Jumat!$A$7:$A$186,"&lt;="&amp;DATE(2026,10,11))</f>
        <v>0</v>
      </c>
      <c r="Q39" s="45">
        <f>SUMIFS(Senin!$H$7:$H$146,Senin!$C$7:$C$146,$B39,Senin!$A$7:$A$146,"&gt;="&amp;DATE(2026,10,12),Senin!$A$7:$A$146,"&lt;="&amp;DATE(2026,10,18))+SUMIFS(Selasa!$H$7:$H$166,Selasa!$C$7:$C$166,$B39,Selasa!$A$7:$A$166,"&gt;="&amp;DATE(2026,10,12),Selasa!$A$7:$A$166,"&lt;="&amp;DATE(2026,10,18))+SUMIFS(Rabu!$H$7:$H$206,Rabu!$C$7:$C$206,$B39,Rabu!$A$7:$A$206,"&gt;="&amp;DATE(2026,10,12),Rabu!$A$7:$A$206,"&lt;="&amp;DATE(2026,10,18))+SUMIFS(Kamis!$H$7:$H$186,Kamis!$C$7:$C$186,$B39,Kamis!$A$7:$A$186,"&gt;="&amp;DATE(2026,10,12),Kamis!$A$7:$A$186,"&lt;="&amp;DATE(2026,10,18))+SUMIFS(Jumat!$H$7:$H$186,Jumat!$C$7:$C$186,$B39,Jumat!$A$7:$A$186,"&gt;="&amp;DATE(2026,10,12),Jumat!$A$7:$A$186,"&lt;="&amp;DATE(2026,10,18))</f>
        <v>0</v>
      </c>
      <c r="R39" s="45">
        <f>SUMIFS(Senin!$H$7:$H$146,Senin!$C$7:$C$146,$B39,Senin!$A$7:$A$146,"&gt;="&amp;DATE(2026,10,19),Senin!$A$7:$A$146,"&lt;="&amp;DATE(2026,10,25))+SUMIFS(Selasa!$H$7:$H$166,Selasa!$C$7:$C$166,$B39,Selasa!$A$7:$A$166,"&gt;="&amp;DATE(2026,10,19),Selasa!$A$7:$A$166,"&lt;="&amp;DATE(2026,10,25))+SUMIFS(Rabu!$H$7:$H$206,Rabu!$C$7:$C$206,$B39,Rabu!$A$7:$A$206,"&gt;="&amp;DATE(2026,10,19),Rabu!$A$7:$A$206,"&lt;="&amp;DATE(2026,10,25))+SUMIFS(Kamis!$H$7:$H$186,Kamis!$C$7:$C$186,$B39,Kamis!$A$7:$A$186,"&gt;="&amp;DATE(2026,10,19),Kamis!$A$7:$A$186,"&lt;="&amp;DATE(2026,10,25))+SUMIFS(Jumat!$H$7:$H$186,Jumat!$C$7:$C$186,$B39,Jumat!$A$7:$A$186,"&gt;="&amp;DATE(2026,10,19),Jumat!$A$7:$A$186,"&lt;="&amp;DATE(2026,10,25))</f>
        <v>0</v>
      </c>
      <c r="S39" s="45">
        <f>SUMIFS(Senin!$H$7:$H$146,Senin!$C$7:$C$146,$B39,Senin!$A$7:$A$146,"&gt;="&amp;DATE(2026,10,26),Senin!$A$7:$A$146,"&lt;="&amp;DATE(2026,11,1))+SUMIFS(Selasa!$H$7:$H$166,Selasa!$C$7:$C$166,$B39,Selasa!$A$7:$A$166,"&gt;="&amp;DATE(2026,10,26),Selasa!$A$7:$A$166,"&lt;="&amp;DATE(2026,11,1))+SUMIFS(Rabu!$H$7:$H$206,Rabu!$C$7:$C$206,$B39,Rabu!$A$7:$A$206,"&gt;="&amp;DATE(2026,10,26),Rabu!$A$7:$A$206,"&lt;="&amp;DATE(2026,11,1))+SUMIFS(Kamis!$H$7:$H$186,Kamis!$C$7:$C$186,$B39,Kamis!$A$7:$A$186,"&gt;="&amp;DATE(2026,10,26),Kamis!$A$7:$A$186,"&lt;="&amp;DATE(2026,11,1))+SUMIFS(Jumat!$H$7:$H$186,Jumat!$C$7:$C$186,$B39,Jumat!$A$7:$A$186,"&gt;="&amp;DATE(2026,10,26),Jumat!$A$7:$A$186,"&lt;="&amp;DATE(2026,11,1))</f>
        <v>0</v>
      </c>
      <c r="T39" s="45">
        <f>SUMIFS(Senin!$H$7:$H$146,Senin!$C$7:$C$146,$B39,Senin!$A$7:$A$146,"&gt;="&amp;DATE(2026,11,2),Senin!$A$7:$A$146,"&lt;="&amp;DATE(2026,11,8))+SUMIFS(Selasa!$H$7:$H$166,Selasa!$C$7:$C$166,$B39,Selasa!$A$7:$A$166,"&gt;="&amp;DATE(2026,11,2),Selasa!$A$7:$A$166,"&lt;="&amp;DATE(2026,11,8))+SUMIFS(Rabu!$H$7:$H$206,Rabu!$C$7:$C$206,$B39,Rabu!$A$7:$A$206,"&gt;="&amp;DATE(2026,11,2),Rabu!$A$7:$A$206,"&lt;="&amp;DATE(2026,11,8))+SUMIFS(Kamis!$H$7:$H$186,Kamis!$C$7:$C$186,$B39,Kamis!$A$7:$A$186,"&gt;="&amp;DATE(2026,11,2),Kamis!$A$7:$A$186,"&lt;="&amp;DATE(2026,11,8))+SUMIFS(Jumat!$H$7:$H$186,Jumat!$C$7:$C$186,$B39,Jumat!$A$7:$A$186,"&gt;="&amp;DATE(2026,11,2),Jumat!$A$7:$A$186,"&lt;="&amp;DATE(2026,11,8))</f>
        <v>0</v>
      </c>
      <c r="U39" s="45">
        <f>SUMIFS(Senin!$H$7:$H$146,Senin!$C$7:$C$146,$B39,Senin!$A$7:$A$146,"&gt;="&amp;DATE(2026,11,9),Senin!$A$7:$A$146,"&lt;="&amp;DATE(2026,11,15))+SUMIFS(Selasa!$H$7:$H$166,Selasa!$C$7:$C$166,$B39,Selasa!$A$7:$A$166,"&gt;="&amp;DATE(2026,11,9),Selasa!$A$7:$A$166,"&lt;="&amp;DATE(2026,11,15))+SUMIFS(Rabu!$H$7:$H$206,Rabu!$C$7:$C$206,$B39,Rabu!$A$7:$A$206,"&gt;="&amp;DATE(2026,11,9),Rabu!$A$7:$A$206,"&lt;="&amp;DATE(2026,11,15))+SUMIFS(Kamis!$H$7:$H$186,Kamis!$C$7:$C$186,$B39,Kamis!$A$7:$A$186,"&gt;="&amp;DATE(2026,11,9),Kamis!$A$7:$A$186,"&lt;="&amp;DATE(2026,11,15))+SUMIFS(Jumat!$H$7:$H$186,Jumat!$C$7:$C$186,$B39,Jumat!$A$7:$A$186,"&gt;="&amp;DATE(2026,11,9),Jumat!$A$7:$A$186,"&lt;="&amp;DATE(2026,11,15))</f>
        <v>0</v>
      </c>
      <c r="V39" s="45">
        <f>SUMIFS(Senin!$H$7:$H$146,Senin!$C$7:$C$146,$B39,Senin!$A$7:$A$146,"&gt;="&amp;DATE(2026,11,16),Senin!$A$7:$A$146,"&lt;="&amp;DATE(2026,11,22))+SUMIFS(Selasa!$H$7:$H$166,Selasa!$C$7:$C$166,$B39,Selasa!$A$7:$A$166,"&gt;="&amp;DATE(2026,11,16),Selasa!$A$7:$A$166,"&lt;="&amp;DATE(2026,11,22))+SUMIFS(Rabu!$H$7:$H$206,Rabu!$C$7:$C$206,$B39,Rabu!$A$7:$A$206,"&gt;="&amp;DATE(2026,11,16),Rabu!$A$7:$A$206,"&lt;="&amp;DATE(2026,11,22))+SUMIFS(Kamis!$H$7:$H$186,Kamis!$C$7:$C$186,$B39,Kamis!$A$7:$A$186,"&gt;="&amp;DATE(2026,11,16),Kamis!$A$7:$A$186,"&lt;="&amp;DATE(2026,11,22))+SUMIFS(Jumat!$H$7:$H$186,Jumat!$C$7:$C$186,$B39,Jumat!$A$7:$A$186,"&gt;="&amp;DATE(2026,11,16),Jumat!$A$7:$A$186,"&lt;="&amp;DATE(2026,11,22))</f>
        <v>0</v>
      </c>
      <c r="W39" s="45">
        <f>SUMIFS(Senin!$H$7:$H$146,Senin!$C$7:$C$146,$B39,Senin!$A$7:$A$146,"&gt;="&amp;DATE(2026,11,23),Senin!$A$7:$A$146,"&lt;="&amp;DATE(2026,11,29))+SUMIFS(Selasa!$H$7:$H$166,Selasa!$C$7:$C$166,$B39,Selasa!$A$7:$A$166,"&gt;="&amp;DATE(2026,11,23),Selasa!$A$7:$A$166,"&lt;="&amp;DATE(2026,11,29))+SUMIFS(Rabu!$H$7:$H$206,Rabu!$C$7:$C$206,$B39,Rabu!$A$7:$A$206,"&gt;="&amp;DATE(2026,11,23),Rabu!$A$7:$A$206,"&lt;="&amp;DATE(2026,11,29))+SUMIFS(Kamis!$H$7:$H$186,Kamis!$C$7:$C$186,$B39,Kamis!$A$7:$A$186,"&gt;="&amp;DATE(2026,11,23),Kamis!$A$7:$A$186,"&lt;="&amp;DATE(2026,11,29))+SUMIFS(Jumat!$H$7:$H$186,Jumat!$C$7:$C$186,$B39,Jumat!$A$7:$A$186,"&gt;="&amp;DATE(2026,11,23),Jumat!$A$7:$A$186,"&lt;="&amp;DATE(2026,11,29))</f>
        <v>0</v>
      </c>
      <c r="X39" s="45">
        <f>SUMIFS(Senin!$H$7:$H$146,Senin!$C$7:$C$146,$B39,Senin!$A$7:$A$146,"&gt;="&amp;DATE(2026,11,30),Senin!$A$7:$A$146,"&lt;="&amp;DATE(2026,12,6))+SUMIFS(Selasa!$H$7:$H$166,Selasa!$C$7:$C$166,$B39,Selasa!$A$7:$A$166,"&gt;="&amp;DATE(2026,11,30),Selasa!$A$7:$A$166,"&lt;="&amp;DATE(2026,12,6))+SUMIFS(Rabu!$H$7:$H$206,Rabu!$C$7:$C$206,$B39,Rabu!$A$7:$A$206,"&gt;="&amp;DATE(2026,11,30),Rabu!$A$7:$A$206,"&lt;="&amp;DATE(2026,12,6))+SUMIFS(Kamis!$H$7:$H$186,Kamis!$C$7:$C$186,$B39,Kamis!$A$7:$A$186,"&gt;="&amp;DATE(2026,11,30),Kamis!$A$7:$A$186,"&lt;="&amp;DATE(2026,12,6))+SUMIFS(Jumat!$H$7:$H$186,Jumat!$C$7:$C$186,$B39,Jumat!$A$7:$A$186,"&gt;="&amp;DATE(2026,11,30),Jumat!$A$7:$A$186,"&lt;="&amp;DATE(2026,12,6))</f>
        <v>0</v>
      </c>
      <c r="Y39" s="45">
        <f>SUMIFS(Senin!$H$7:$H$146,Senin!$C$7:$C$146,$B39,Senin!$A$7:$A$146,"&gt;="&amp;DATE(2026,12,7),Senin!$A$7:$A$146,"&lt;="&amp;DATE(2026,12,13))+SUMIFS(Selasa!$H$7:$H$166,Selasa!$C$7:$C$166,$B39,Selasa!$A$7:$A$166,"&gt;="&amp;DATE(2026,12,7),Selasa!$A$7:$A$166,"&lt;="&amp;DATE(2026,12,13))+SUMIFS(Rabu!$H$7:$H$206,Rabu!$C$7:$C$206,$B39,Rabu!$A$7:$A$206,"&gt;="&amp;DATE(2026,12,7),Rabu!$A$7:$A$206,"&lt;="&amp;DATE(2026,12,13))+SUMIFS(Kamis!$H$7:$H$186,Kamis!$C$7:$C$186,$B39,Kamis!$A$7:$A$186,"&gt;="&amp;DATE(2026,12,7),Kamis!$A$7:$A$186,"&lt;="&amp;DATE(2026,12,13))+SUMIFS(Jumat!$H$7:$H$186,Jumat!$C$7:$C$186,$B39,Jumat!$A$7:$A$186,"&gt;="&amp;DATE(2026,12,7),Jumat!$A$7:$A$186,"&lt;="&amp;DATE(2026,12,13))</f>
        <v>0</v>
      </c>
      <c r="Z39" s="45">
        <f>SUMIFS(Senin!$H$7:$H$146,Senin!$C$7:$C$146,$B39,Senin!$A$7:$A$146,"&gt;="&amp;DATE(2026,12,14),Senin!$A$7:$A$146,"&lt;="&amp;DATE(2026,12,20))+SUMIFS(Selasa!$H$7:$H$166,Selasa!$C$7:$C$166,$B39,Selasa!$A$7:$A$166,"&gt;="&amp;DATE(2026,12,14),Selasa!$A$7:$A$166,"&lt;="&amp;DATE(2026,12,20))+SUMIFS(Rabu!$H$7:$H$206,Rabu!$C$7:$C$206,$B39,Rabu!$A$7:$A$206,"&gt;="&amp;DATE(2026,12,14),Rabu!$A$7:$A$206,"&lt;="&amp;DATE(2026,12,20))+SUMIFS(Kamis!$H$7:$H$186,Kamis!$C$7:$C$186,$B39,Kamis!$A$7:$A$186,"&gt;="&amp;DATE(2026,12,14),Kamis!$A$7:$A$186,"&lt;="&amp;DATE(2026,12,20))+SUMIFS(Jumat!$H$7:$H$186,Jumat!$C$7:$C$186,$B39,Jumat!$A$7:$A$186,"&gt;="&amp;DATE(2026,12,14),Jumat!$A$7:$A$186,"&lt;="&amp;DATE(2026,12,20))</f>
        <v>0</v>
      </c>
      <c r="AA39" s="45">
        <f>SUMIFS(Senin!$H$7:$H$146,Senin!$C$7:$C$146,$B39,Senin!$A$7:$A$146,"&gt;="&amp;DATE(2026,12,21),Senin!$A$7:$A$146,"&lt;="&amp;DATE(2026,12,27))+SUMIFS(Selasa!$H$7:$H$166,Selasa!$C$7:$C$166,$B39,Selasa!$A$7:$A$166,"&gt;="&amp;DATE(2026,12,21),Selasa!$A$7:$A$166,"&lt;="&amp;DATE(2026,12,27))+SUMIFS(Rabu!$H$7:$H$206,Rabu!$C$7:$C$206,$B39,Rabu!$A$7:$A$206,"&gt;="&amp;DATE(2026,12,21),Rabu!$A$7:$A$206,"&lt;="&amp;DATE(2026,12,27))+SUMIFS(Kamis!$H$7:$H$186,Kamis!$C$7:$C$186,$B39,Kamis!$A$7:$A$186,"&gt;="&amp;DATE(2026,12,21),Kamis!$A$7:$A$186,"&lt;="&amp;DATE(2026,12,27))+SUMIFS(Jumat!$H$7:$H$186,Jumat!$C$7:$C$186,$B39,Jumat!$A$7:$A$186,"&gt;="&amp;DATE(2026,12,21),Jumat!$A$7:$A$186,"&lt;="&amp;DATE(2026,12,27))</f>
        <v>0</v>
      </c>
      <c r="AB39" s="45">
        <f>SUMIFS(Senin!$H$7:$H$146,Senin!$C$7:$C$146,$B39,Senin!$A$7:$A$146,"&gt;="&amp;DATE(2026,12,28),Senin!$A$7:$A$146,"&lt;="&amp;DATE(2027,1,3))+SUMIFS(Selasa!$H$7:$H$166,Selasa!$C$7:$C$166,$B39,Selasa!$A$7:$A$166,"&gt;="&amp;DATE(2026,12,28),Selasa!$A$7:$A$166,"&lt;="&amp;DATE(2027,1,3))+SUMIFS(Rabu!$H$7:$H$206,Rabu!$C$7:$C$206,$B39,Rabu!$A$7:$A$206,"&gt;="&amp;DATE(2026,12,28),Rabu!$A$7:$A$206,"&lt;="&amp;DATE(2027,1,3))+SUMIFS(Kamis!$H$7:$H$186,Kamis!$C$7:$C$186,$B39,Kamis!$A$7:$A$186,"&gt;="&amp;DATE(2026,12,28),Kamis!$A$7:$A$186,"&lt;="&amp;DATE(2027,1,3))+SUMIFS(Jumat!$H$7:$H$186,Jumat!$C$7:$C$186,$B39,Jumat!$A$7:$A$186,"&gt;="&amp;DATE(2026,12,28),Jumat!$A$7:$A$186,"&lt;="&amp;DATE(2027,1,3))</f>
        <v>0</v>
      </c>
      <c r="AC39" s="45">
        <f>SUMIFS(Senin!$H$7:$H$146,Senin!$C$7:$C$146,$B39,Senin!$A$7:$A$146,"&gt;="&amp;DATE(2027,1,4),Senin!$A$7:$A$146,"&lt;="&amp;DATE(2027,1,10))+SUMIFS(Selasa!$H$7:$H$166,Selasa!$C$7:$C$166,$B39,Selasa!$A$7:$A$166,"&gt;="&amp;DATE(2027,1,4),Selasa!$A$7:$A$166,"&lt;="&amp;DATE(2027,1,10))+SUMIFS(Rabu!$H$7:$H$206,Rabu!$C$7:$C$206,$B39,Rabu!$A$7:$A$206,"&gt;="&amp;DATE(2027,1,4),Rabu!$A$7:$A$206,"&lt;="&amp;DATE(2027,1,10))+SUMIFS(Kamis!$H$7:$H$186,Kamis!$C$7:$C$186,$B39,Kamis!$A$7:$A$186,"&gt;="&amp;DATE(2027,1,4),Kamis!$A$7:$A$186,"&lt;="&amp;DATE(2027,1,10))+SUMIFS(Jumat!$H$7:$H$186,Jumat!$C$7:$C$186,$B39,Jumat!$A$7:$A$186,"&gt;="&amp;DATE(2027,1,4),Jumat!$A$7:$A$186,"&lt;="&amp;DATE(2027,1,10))</f>
        <v>0</v>
      </c>
      <c r="AD39" s="45">
        <f>SUMIFS(Senin!$H$7:$H$146,Senin!$C$7:$C$146,$B39,Senin!$A$7:$A$146,"&gt;="&amp;DATE(2027,1,11),Senin!$A$7:$A$146,"&lt;="&amp;DATE(2027,1,17))+SUMIFS(Selasa!$H$7:$H$166,Selasa!$C$7:$C$166,$B39,Selasa!$A$7:$A$166,"&gt;="&amp;DATE(2027,1,11),Selasa!$A$7:$A$166,"&lt;="&amp;DATE(2027,1,17))+SUMIFS(Rabu!$H$7:$H$206,Rabu!$C$7:$C$206,$B39,Rabu!$A$7:$A$206,"&gt;="&amp;DATE(2027,1,11),Rabu!$A$7:$A$206,"&lt;="&amp;DATE(2027,1,17))+SUMIFS(Kamis!$H$7:$H$186,Kamis!$C$7:$C$186,$B39,Kamis!$A$7:$A$186,"&gt;="&amp;DATE(2027,1,11),Kamis!$A$7:$A$186,"&lt;="&amp;DATE(2027,1,17))+SUMIFS(Jumat!$H$7:$H$186,Jumat!$C$7:$C$186,$B39,Jumat!$A$7:$A$186,"&gt;="&amp;DATE(2027,1,11),Jumat!$A$7:$A$186,"&lt;="&amp;DATE(2027,1,17))</f>
        <v>0</v>
      </c>
    </row>
    <row r="40" ht="15.75" customHeight="1">
      <c r="A40" s="62">
        <v>37.0</v>
      </c>
      <c r="B40" s="26" t="s">
        <v>44</v>
      </c>
      <c r="C40" s="41">
        <f>COUNTIFS(Senin!$C$7:$C$146,$B40,Senin!$G$7:$G$146,"Ya",Senin!$E$7:$E$146,"&lt;&gt;")+COUNTIFS(Selasa!$C$7:$C$166,$B40,Selasa!$G$7:$G$166,"Ya",Selasa!$E$7:$E$166,"&lt;&gt;")+COUNTIFS(Rabu!$C$7:$C$206,$B40,Rabu!$G$7:$G$206,"Ya",Rabu!$E$7:$E$206,"&lt;&gt;")+COUNTIFS(Kamis!$C$7:$C$186,$B40,Kamis!$G$7:$G$186,"Ya",Kamis!$E$7:$E$186,"&lt;&gt;")+COUNTIFS(Jumat!$C$7:$C$186,$B40,Jumat!$G$7:$G$186,"Ya",Jumat!$E$7:$E$186,"&lt;&gt;")</f>
        <v>0</v>
      </c>
      <c r="D40" s="41">
        <f>COUNTIFS(Senin!$C$7:$C$146,$B40,Senin!$G$7:$G$146,"Ya",Senin!$E$7:$E$146,"")+COUNTIFS(Selasa!$C$7:$C$166,$B40,Selasa!$G$7:$G$166,"Ya",Selasa!$E$7:$E$166,"")+COUNTIFS(Rabu!$C$7:$C$206,$B40,Rabu!$G$7:$G$206,"Ya",Rabu!$E$7:$E$206,"")+COUNTIFS(Kamis!$C$7:$C$186,$B40,Kamis!$G$7:$G$186,"Ya",Kamis!$E$7:$E$186,"")+COUNTIFS(Jumat!$C$7:$C$186,$B40,Jumat!$G$7:$G$186,"Ya",Jumat!$E$7:$E$186,"")</f>
        <v>0</v>
      </c>
      <c r="E40" s="45">
        <f>SUMIFS(Senin!$H$7:$H$146,Senin!$C$7:$C$146,$B40,Senin!$A$7:$A$146,"&gt;="&amp;DATE(2026,8,1),Senin!$A$7:$A$146,"&lt;="&amp;DATE(2026,12,31))+SUMIFS(Selasa!$H$7:$H$166,Selasa!$C$7:$C$166,$B40,Selasa!$A$7:$A$166,"&gt;="&amp;DATE(2026,8,1),Selasa!$A$7:$A$166,"&lt;="&amp;DATE(2026,12,31))+SUMIFS(Rabu!$H$7:$H$206,Rabu!$C$7:$C$206,$B40,Rabu!$A$7:$A$206,"&gt;="&amp;DATE(2026,8,1),Rabu!$A$7:$A$206,"&lt;="&amp;DATE(2026,12,31))+SUMIFS(Kamis!$H$7:$H$186,Kamis!$C$7:$C$186,$B40,Kamis!$A$7:$A$186,"&gt;="&amp;DATE(2026,8,1),Kamis!$A$7:$A$186,"&lt;="&amp;DATE(2026,12,31))+SUMIFS(Jumat!$H$7:$H$186,Jumat!$C$7:$C$186,$B40,Jumat!$A$7:$A$186,"&gt;="&amp;DATE(2026,8,1),Jumat!$A$7:$A$186,"&lt;="&amp;DATE(2026,12,31))</f>
        <v>0</v>
      </c>
      <c r="F40" s="45">
        <f>SUMIFS(Senin!$H$7:$H$146,Senin!$C$7:$C$146,$B40,Senin!$A$7:$A$146,"&gt;="&amp;DATE(2026,8,1),Senin!$A$7:$A$146,"&lt;="&amp;DATE(2026,8,31))+SUMIFS(Selasa!$H$7:$H$166,Selasa!$C$7:$C$166,$B40,Selasa!$A$7:$A$166,"&gt;="&amp;DATE(2026,8,1),Selasa!$A$7:$A$166,"&lt;="&amp;DATE(2026,8,31))+SUMIFS(Rabu!$H$7:$H$206,Rabu!$C$7:$C$206,$B40,Rabu!$A$7:$A$206,"&gt;="&amp;DATE(2026,8,1),Rabu!$A$7:$A$206,"&lt;="&amp;DATE(2026,8,31))+SUMIFS(Kamis!$H$7:$H$186,Kamis!$C$7:$C$186,$B40,Kamis!$A$7:$A$186,"&gt;="&amp;DATE(2026,8,1),Kamis!$A$7:$A$186,"&lt;="&amp;DATE(2026,8,31))+SUMIFS(Jumat!$H$7:$H$186,Jumat!$C$7:$C$186,$B40,Jumat!$A$7:$A$186,"&gt;="&amp;DATE(2026,8,1),Jumat!$A$7:$A$186,"&lt;="&amp;DATE(2026,8,31))</f>
        <v>0</v>
      </c>
      <c r="G40" s="45">
        <f>SUMIFS(Senin!$H$7:$H$146,Senin!$C$7:$C$146,$B40,Senin!$A$7:$A$146,"&gt;="&amp;DATE(2026,9,1),Senin!$A$7:$A$146,"&lt;="&amp;DATE(2026,9,30))+SUMIFS(Selasa!$H$7:$H$166,Selasa!$C$7:$C$166,$B40,Selasa!$A$7:$A$166,"&gt;="&amp;DATE(2026,9,1),Selasa!$A$7:$A$166,"&lt;="&amp;DATE(2026,9,30))+SUMIFS(Rabu!$H$7:$H$206,Rabu!$C$7:$C$206,$B40,Rabu!$A$7:$A$206,"&gt;="&amp;DATE(2026,9,1),Rabu!$A$7:$A$206,"&lt;="&amp;DATE(2026,9,30))+SUMIFS(Kamis!$H$7:$H$186,Kamis!$C$7:$C$186,$B40,Kamis!$A$7:$A$186,"&gt;="&amp;DATE(2026,9,1),Kamis!$A$7:$A$186,"&lt;="&amp;DATE(2026,9,30))+SUMIFS(Jumat!$H$7:$H$186,Jumat!$C$7:$C$186,$B40,Jumat!$A$7:$A$186,"&gt;="&amp;DATE(2026,9,1),Jumat!$A$7:$A$186,"&lt;="&amp;DATE(2026,9,30))</f>
        <v>0</v>
      </c>
      <c r="H40" s="45">
        <f>SUMIFS(Senin!$H$7:$H$146,Senin!$C$7:$C$146,$B40,Senin!$A$7:$A$146,"&gt;="&amp;DATE(2026,10,1),Senin!$A$7:$A$146,"&lt;="&amp;DATE(2026,10,31))+SUMIFS(Selasa!$H$7:$H$166,Selasa!$C$7:$C$166,$B40,Selasa!$A$7:$A$166,"&gt;="&amp;DATE(2026,10,1),Selasa!$A$7:$A$166,"&lt;="&amp;DATE(2026,10,31))+SUMIFS(Rabu!$H$7:$H$206,Rabu!$C$7:$C$206,$B40,Rabu!$A$7:$A$206,"&gt;="&amp;DATE(2026,10,1),Rabu!$A$7:$A$206,"&lt;="&amp;DATE(2026,10,31))+SUMIFS(Kamis!$H$7:$H$186,Kamis!$C$7:$C$186,$B40,Kamis!$A$7:$A$186,"&gt;="&amp;DATE(2026,10,1),Kamis!$A$7:$A$186,"&lt;="&amp;DATE(2026,10,31))+SUMIFS(Jumat!$H$7:$H$186,Jumat!$C$7:$C$186,$B40,Jumat!$A$7:$A$186,"&gt;="&amp;DATE(2026,10,1),Jumat!$A$7:$A$186,"&lt;="&amp;DATE(2026,10,31))</f>
        <v>0</v>
      </c>
      <c r="I40" s="45">
        <f>SUMIFS(Senin!$H$7:$H$146,Senin!$C$7:$C$146,$B40,Senin!$A$7:$A$146,"&gt;="&amp;DATE(2026,11,1),Senin!$A$7:$A$146,"&lt;="&amp;DATE(2026,11,30))+SUMIFS(Selasa!$H$7:$H$166,Selasa!$C$7:$C$166,$B40,Selasa!$A$7:$A$166,"&gt;="&amp;DATE(2026,11,1),Selasa!$A$7:$A$166,"&lt;="&amp;DATE(2026,11,30))+SUMIFS(Rabu!$H$7:$H$206,Rabu!$C$7:$C$206,$B40,Rabu!$A$7:$A$206,"&gt;="&amp;DATE(2026,11,1),Rabu!$A$7:$A$206,"&lt;="&amp;DATE(2026,11,30))+SUMIFS(Kamis!$H$7:$H$186,Kamis!$C$7:$C$186,$B40,Kamis!$A$7:$A$186,"&gt;="&amp;DATE(2026,11,1),Kamis!$A$7:$A$186,"&lt;="&amp;DATE(2026,11,30))+SUMIFS(Jumat!$H$7:$H$186,Jumat!$C$7:$C$186,$B40,Jumat!$A$7:$A$186,"&gt;="&amp;DATE(2026,11,1),Jumat!$A$7:$A$186,"&lt;="&amp;DATE(2026,11,30))</f>
        <v>0</v>
      </c>
      <c r="J40" s="45">
        <f>SUMIFS(Senin!$H$7:$H$146,Senin!$C$7:$C$146,$B40,Senin!$A$7:$A$146,"&gt;="&amp;DATE(2026,12,1),Senin!$A$7:$A$146,"&lt;="&amp;DATE(2026,12,31))+SUMIFS(Selasa!$H$7:$H$166,Selasa!$C$7:$C$166,$B40,Selasa!$A$7:$A$166,"&gt;="&amp;DATE(2026,12,1),Selasa!$A$7:$A$166,"&lt;="&amp;DATE(2026,12,31))+SUMIFS(Rabu!$H$7:$H$206,Rabu!$C$7:$C$206,$B40,Rabu!$A$7:$A$206,"&gt;="&amp;DATE(2026,12,1),Rabu!$A$7:$A$206,"&lt;="&amp;DATE(2026,12,31))+SUMIFS(Kamis!$H$7:$H$186,Kamis!$C$7:$C$186,$B40,Kamis!$A$7:$A$186,"&gt;="&amp;DATE(2026,12,1),Kamis!$A$7:$A$186,"&lt;="&amp;DATE(2026,12,31))+SUMIFS(Jumat!$H$7:$H$186,Jumat!$C$7:$C$186,$B40,Jumat!$A$7:$A$186,"&gt;="&amp;DATE(2026,12,1),Jumat!$A$7:$A$186,"&lt;="&amp;DATE(2026,12,31))</f>
        <v>0</v>
      </c>
      <c r="K40" s="45">
        <f>SUMIFS(Senin!$H$7:$H$146,Senin!$C$7:$C$146,$B40,Senin!$A$7:$A$146,"&gt;="&amp;DATE(2026,8,31),Senin!$A$7:$A$146,"&lt;="&amp;DATE(2026,9,6))+SUMIFS(Selasa!$H$7:$H$166,Selasa!$C$7:$C$166,$B40,Selasa!$A$7:$A$166,"&gt;="&amp;DATE(2026,8,31),Selasa!$A$7:$A$166,"&lt;="&amp;DATE(2026,9,6))+SUMIFS(Rabu!$H$7:$H$206,Rabu!$C$7:$C$206,$B40,Rabu!$A$7:$A$206,"&gt;="&amp;DATE(2026,8,31),Rabu!$A$7:$A$206,"&lt;="&amp;DATE(2026,9,6))+SUMIFS(Kamis!$H$7:$H$186,Kamis!$C$7:$C$186,$B40,Kamis!$A$7:$A$186,"&gt;="&amp;DATE(2026,8,31),Kamis!$A$7:$A$186,"&lt;="&amp;DATE(2026,9,6))+SUMIFS(Jumat!$H$7:$H$186,Jumat!$C$7:$C$186,$B40,Jumat!$A$7:$A$186,"&gt;="&amp;DATE(2026,8,31),Jumat!$A$7:$A$186,"&lt;="&amp;DATE(2026,9,6))</f>
        <v>0</v>
      </c>
      <c r="L40" s="45">
        <f>SUMIFS(Senin!$H$7:$H$146,Senin!$C$7:$C$146,$B40,Senin!$A$7:$A$146,"&gt;="&amp;DATE(2026,9,7),Senin!$A$7:$A$146,"&lt;="&amp;DATE(2026,9,13))+SUMIFS(Selasa!$H$7:$H$166,Selasa!$C$7:$C$166,$B40,Selasa!$A$7:$A$166,"&gt;="&amp;DATE(2026,9,7),Selasa!$A$7:$A$166,"&lt;="&amp;DATE(2026,9,13))+SUMIFS(Rabu!$H$7:$H$206,Rabu!$C$7:$C$206,$B40,Rabu!$A$7:$A$206,"&gt;="&amp;DATE(2026,9,7),Rabu!$A$7:$A$206,"&lt;="&amp;DATE(2026,9,13))+SUMIFS(Kamis!$H$7:$H$186,Kamis!$C$7:$C$186,$B40,Kamis!$A$7:$A$186,"&gt;="&amp;DATE(2026,9,7),Kamis!$A$7:$A$186,"&lt;="&amp;DATE(2026,9,13))+SUMIFS(Jumat!$H$7:$H$186,Jumat!$C$7:$C$186,$B40,Jumat!$A$7:$A$186,"&gt;="&amp;DATE(2026,9,7),Jumat!$A$7:$A$186,"&lt;="&amp;DATE(2026,9,13))</f>
        <v>0</v>
      </c>
      <c r="M40" s="45">
        <f>SUMIFS(Senin!$H$7:$H$146,Senin!$C$7:$C$146,$B40,Senin!$A$7:$A$146,"&gt;="&amp;DATE(2026,9,14),Senin!$A$7:$A$146,"&lt;="&amp;DATE(2026,9,20))+SUMIFS(Selasa!$H$7:$H$166,Selasa!$C$7:$C$166,$B40,Selasa!$A$7:$A$166,"&gt;="&amp;DATE(2026,9,14),Selasa!$A$7:$A$166,"&lt;="&amp;DATE(2026,9,20))+SUMIFS(Rabu!$H$7:$H$206,Rabu!$C$7:$C$206,$B40,Rabu!$A$7:$A$206,"&gt;="&amp;DATE(2026,9,14),Rabu!$A$7:$A$206,"&lt;="&amp;DATE(2026,9,20))+SUMIFS(Kamis!$H$7:$H$186,Kamis!$C$7:$C$186,$B40,Kamis!$A$7:$A$186,"&gt;="&amp;DATE(2026,9,14),Kamis!$A$7:$A$186,"&lt;="&amp;DATE(2026,9,20))+SUMIFS(Jumat!$H$7:$H$186,Jumat!$C$7:$C$186,$B40,Jumat!$A$7:$A$186,"&gt;="&amp;DATE(2026,9,14),Jumat!$A$7:$A$186,"&lt;="&amp;DATE(2026,9,20))</f>
        <v>0</v>
      </c>
      <c r="N40" s="45">
        <f>SUMIFS(Senin!$H$7:$H$146,Senin!$C$7:$C$146,$B40,Senin!$A$7:$A$146,"&gt;="&amp;DATE(2026,9,21),Senin!$A$7:$A$146,"&lt;="&amp;DATE(2026,9,27))+SUMIFS(Selasa!$H$7:$H$166,Selasa!$C$7:$C$166,$B40,Selasa!$A$7:$A$166,"&gt;="&amp;DATE(2026,9,21),Selasa!$A$7:$A$166,"&lt;="&amp;DATE(2026,9,27))+SUMIFS(Rabu!$H$7:$H$206,Rabu!$C$7:$C$206,$B40,Rabu!$A$7:$A$206,"&gt;="&amp;DATE(2026,9,21),Rabu!$A$7:$A$206,"&lt;="&amp;DATE(2026,9,27))+SUMIFS(Kamis!$H$7:$H$186,Kamis!$C$7:$C$186,$B40,Kamis!$A$7:$A$186,"&gt;="&amp;DATE(2026,9,21),Kamis!$A$7:$A$186,"&lt;="&amp;DATE(2026,9,27))+SUMIFS(Jumat!$H$7:$H$186,Jumat!$C$7:$C$186,$B40,Jumat!$A$7:$A$186,"&gt;="&amp;DATE(2026,9,21),Jumat!$A$7:$A$186,"&lt;="&amp;DATE(2026,9,27))</f>
        <v>0</v>
      </c>
      <c r="O40" s="45">
        <f>SUMIFS(Senin!$H$7:$H$146,Senin!$C$7:$C$146,$B40,Senin!$A$7:$A$146,"&gt;="&amp;DATE(2026,9,28),Senin!$A$7:$A$146,"&lt;="&amp;DATE(2026,10,4))+SUMIFS(Selasa!$H$7:$H$166,Selasa!$C$7:$C$166,$B40,Selasa!$A$7:$A$166,"&gt;="&amp;DATE(2026,9,28),Selasa!$A$7:$A$166,"&lt;="&amp;DATE(2026,10,4))+SUMIFS(Rabu!$H$7:$H$206,Rabu!$C$7:$C$206,$B40,Rabu!$A$7:$A$206,"&gt;="&amp;DATE(2026,9,28),Rabu!$A$7:$A$206,"&lt;="&amp;DATE(2026,10,4))+SUMIFS(Kamis!$H$7:$H$186,Kamis!$C$7:$C$186,$B40,Kamis!$A$7:$A$186,"&gt;="&amp;DATE(2026,9,28),Kamis!$A$7:$A$186,"&lt;="&amp;DATE(2026,10,4))+SUMIFS(Jumat!$H$7:$H$186,Jumat!$C$7:$C$186,$B40,Jumat!$A$7:$A$186,"&gt;="&amp;DATE(2026,9,28),Jumat!$A$7:$A$186,"&lt;="&amp;DATE(2026,10,4))</f>
        <v>0</v>
      </c>
      <c r="P40" s="45">
        <f>SUMIFS(Senin!$H$7:$H$146,Senin!$C$7:$C$146,$B40,Senin!$A$7:$A$146,"&gt;="&amp;DATE(2026,10,5),Senin!$A$7:$A$146,"&lt;="&amp;DATE(2026,10,11))+SUMIFS(Selasa!$H$7:$H$166,Selasa!$C$7:$C$166,$B40,Selasa!$A$7:$A$166,"&gt;="&amp;DATE(2026,10,5),Selasa!$A$7:$A$166,"&lt;="&amp;DATE(2026,10,11))+SUMIFS(Rabu!$H$7:$H$206,Rabu!$C$7:$C$206,$B40,Rabu!$A$7:$A$206,"&gt;="&amp;DATE(2026,10,5),Rabu!$A$7:$A$206,"&lt;="&amp;DATE(2026,10,11))+SUMIFS(Kamis!$H$7:$H$186,Kamis!$C$7:$C$186,$B40,Kamis!$A$7:$A$186,"&gt;="&amp;DATE(2026,10,5),Kamis!$A$7:$A$186,"&lt;="&amp;DATE(2026,10,11))+SUMIFS(Jumat!$H$7:$H$186,Jumat!$C$7:$C$186,$B40,Jumat!$A$7:$A$186,"&gt;="&amp;DATE(2026,10,5),Jumat!$A$7:$A$186,"&lt;="&amp;DATE(2026,10,11))</f>
        <v>0</v>
      </c>
      <c r="Q40" s="45">
        <f>SUMIFS(Senin!$H$7:$H$146,Senin!$C$7:$C$146,$B40,Senin!$A$7:$A$146,"&gt;="&amp;DATE(2026,10,12),Senin!$A$7:$A$146,"&lt;="&amp;DATE(2026,10,18))+SUMIFS(Selasa!$H$7:$H$166,Selasa!$C$7:$C$166,$B40,Selasa!$A$7:$A$166,"&gt;="&amp;DATE(2026,10,12),Selasa!$A$7:$A$166,"&lt;="&amp;DATE(2026,10,18))+SUMIFS(Rabu!$H$7:$H$206,Rabu!$C$7:$C$206,$B40,Rabu!$A$7:$A$206,"&gt;="&amp;DATE(2026,10,12),Rabu!$A$7:$A$206,"&lt;="&amp;DATE(2026,10,18))+SUMIFS(Kamis!$H$7:$H$186,Kamis!$C$7:$C$186,$B40,Kamis!$A$7:$A$186,"&gt;="&amp;DATE(2026,10,12),Kamis!$A$7:$A$186,"&lt;="&amp;DATE(2026,10,18))+SUMIFS(Jumat!$H$7:$H$186,Jumat!$C$7:$C$186,$B40,Jumat!$A$7:$A$186,"&gt;="&amp;DATE(2026,10,12),Jumat!$A$7:$A$186,"&lt;="&amp;DATE(2026,10,18))</f>
        <v>0</v>
      </c>
      <c r="R40" s="45">
        <f>SUMIFS(Senin!$H$7:$H$146,Senin!$C$7:$C$146,$B40,Senin!$A$7:$A$146,"&gt;="&amp;DATE(2026,10,19),Senin!$A$7:$A$146,"&lt;="&amp;DATE(2026,10,25))+SUMIFS(Selasa!$H$7:$H$166,Selasa!$C$7:$C$166,$B40,Selasa!$A$7:$A$166,"&gt;="&amp;DATE(2026,10,19),Selasa!$A$7:$A$166,"&lt;="&amp;DATE(2026,10,25))+SUMIFS(Rabu!$H$7:$H$206,Rabu!$C$7:$C$206,$B40,Rabu!$A$7:$A$206,"&gt;="&amp;DATE(2026,10,19),Rabu!$A$7:$A$206,"&lt;="&amp;DATE(2026,10,25))+SUMIFS(Kamis!$H$7:$H$186,Kamis!$C$7:$C$186,$B40,Kamis!$A$7:$A$186,"&gt;="&amp;DATE(2026,10,19),Kamis!$A$7:$A$186,"&lt;="&amp;DATE(2026,10,25))+SUMIFS(Jumat!$H$7:$H$186,Jumat!$C$7:$C$186,$B40,Jumat!$A$7:$A$186,"&gt;="&amp;DATE(2026,10,19),Jumat!$A$7:$A$186,"&lt;="&amp;DATE(2026,10,25))</f>
        <v>0</v>
      </c>
      <c r="S40" s="45">
        <f>SUMIFS(Senin!$H$7:$H$146,Senin!$C$7:$C$146,$B40,Senin!$A$7:$A$146,"&gt;="&amp;DATE(2026,10,26),Senin!$A$7:$A$146,"&lt;="&amp;DATE(2026,11,1))+SUMIFS(Selasa!$H$7:$H$166,Selasa!$C$7:$C$166,$B40,Selasa!$A$7:$A$166,"&gt;="&amp;DATE(2026,10,26),Selasa!$A$7:$A$166,"&lt;="&amp;DATE(2026,11,1))+SUMIFS(Rabu!$H$7:$H$206,Rabu!$C$7:$C$206,$B40,Rabu!$A$7:$A$206,"&gt;="&amp;DATE(2026,10,26),Rabu!$A$7:$A$206,"&lt;="&amp;DATE(2026,11,1))+SUMIFS(Kamis!$H$7:$H$186,Kamis!$C$7:$C$186,$B40,Kamis!$A$7:$A$186,"&gt;="&amp;DATE(2026,10,26),Kamis!$A$7:$A$186,"&lt;="&amp;DATE(2026,11,1))+SUMIFS(Jumat!$H$7:$H$186,Jumat!$C$7:$C$186,$B40,Jumat!$A$7:$A$186,"&gt;="&amp;DATE(2026,10,26),Jumat!$A$7:$A$186,"&lt;="&amp;DATE(2026,11,1))</f>
        <v>0</v>
      </c>
      <c r="T40" s="45">
        <f>SUMIFS(Senin!$H$7:$H$146,Senin!$C$7:$C$146,$B40,Senin!$A$7:$A$146,"&gt;="&amp;DATE(2026,11,2),Senin!$A$7:$A$146,"&lt;="&amp;DATE(2026,11,8))+SUMIFS(Selasa!$H$7:$H$166,Selasa!$C$7:$C$166,$B40,Selasa!$A$7:$A$166,"&gt;="&amp;DATE(2026,11,2),Selasa!$A$7:$A$166,"&lt;="&amp;DATE(2026,11,8))+SUMIFS(Rabu!$H$7:$H$206,Rabu!$C$7:$C$206,$B40,Rabu!$A$7:$A$206,"&gt;="&amp;DATE(2026,11,2),Rabu!$A$7:$A$206,"&lt;="&amp;DATE(2026,11,8))+SUMIFS(Kamis!$H$7:$H$186,Kamis!$C$7:$C$186,$B40,Kamis!$A$7:$A$186,"&gt;="&amp;DATE(2026,11,2),Kamis!$A$7:$A$186,"&lt;="&amp;DATE(2026,11,8))+SUMIFS(Jumat!$H$7:$H$186,Jumat!$C$7:$C$186,$B40,Jumat!$A$7:$A$186,"&gt;="&amp;DATE(2026,11,2),Jumat!$A$7:$A$186,"&lt;="&amp;DATE(2026,11,8))</f>
        <v>0</v>
      </c>
      <c r="U40" s="45">
        <f>SUMIFS(Senin!$H$7:$H$146,Senin!$C$7:$C$146,$B40,Senin!$A$7:$A$146,"&gt;="&amp;DATE(2026,11,9),Senin!$A$7:$A$146,"&lt;="&amp;DATE(2026,11,15))+SUMIFS(Selasa!$H$7:$H$166,Selasa!$C$7:$C$166,$B40,Selasa!$A$7:$A$166,"&gt;="&amp;DATE(2026,11,9),Selasa!$A$7:$A$166,"&lt;="&amp;DATE(2026,11,15))+SUMIFS(Rabu!$H$7:$H$206,Rabu!$C$7:$C$206,$B40,Rabu!$A$7:$A$206,"&gt;="&amp;DATE(2026,11,9),Rabu!$A$7:$A$206,"&lt;="&amp;DATE(2026,11,15))+SUMIFS(Kamis!$H$7:$H$186,Kamis!$C$7:$C$186,$B40,Kamis!$A$7:$A$186,"&gt;="&amp;DATE(2026,11,9),Kamis!$A$7:$A$186,"&lt;="&amp;DATE(2026,11,15))+SUMIFS(Jumat!$H$7:$H$186,Jumat!$C$7:$C$186,$B40,Jumat!$A$7:$A$186,"&gt;="&amp;DATE(2026,11,9),Jumat!$A$7:$A$186,"&lt;="&amp;DATE(2026,11,15))</f>
        <v>0</v>
      </c>
      <c r="V40" s="45">
        <f>SUMIFS(Senin!$H$7:$H$146,Senin!$C$7:$C$146,$B40,Senin!$A$7:$A$146,"&gt;="&amp;DATE(2026,11,16),Senin!$A$7:$A$146,"&lt;="&amp;DATE(2026,11,22))+SUMIFS(Selasa!$H$7:$H$166,Selasa!$C$7:$C$166,$B40,Selasa!$A$7:$A$166,"&gt;="&amp;DATE(2026,11,16),Selasa!$A$7:$A$166,"&lt;="&amp;DATE(2026,11,22))+SUMIFS(Rabu!$H$7:$H$206,Rabu!$C$7:$C$206,$B40,Rabu!$A$7:$A$206,"&gt;="&amp;DATE(2026,11,16),Rabu!$A$7:$A$206,"&lt;="&amp;DATE(2026,11,22))+SUMIFS(Kamis!$H$7:$H$186,Kamis!$C$7:$C$186,$B40,Kamis!$A$7:$A$186,"&gt;="&amp;DATE(2026,11,16),Kamis!$A$7:$A$186,"&lt;="&amp;DATE(2026,11,22))+SUMIFS(Jumat!$H$7:$H$186,Jumat!$C$7:$C$186,$B40,Jumat!$A$7:$A$186,"&gt;="&amp;DATE(2026,11,16),Jumat!$A$7:$A$186,"&lt;="&amp;DATE(2026,11,22))</f>
        <v>0</v>
      </c>
      <c r="W40" s="45">
        <f>SUMIFS(Senin!$H$7:$H$146,Senin!$C$7:$C$146,$B40,Senin!$A$7:$A$146,"&gt;="&amp;DATE(2026,11,23),Senin!$A$7:$A$146,"&lt;="&amp;DATE(2026,11,29))+SUMIFS(Selasa!$H$7:$H$166,Selasa!$C$7:$C$166,$B40,Selasa!$A$7:$A$166,"&gt;="&amp;DATE(2026,11,23),Selasa!$A$7:$A$166,"&lt;="&amp;DATE(2026,11,29))+SUMIFS(Rabu!$H$7:$H$206,Rabu!$C$7:$C$206,$B40,Rabu!$A$7:$A$206,"&gt;="&amp;DATE(2026,11,23),Rabu!$A$7:$A$206,"&lt;="&amp;DATE(2026,11,29))+SUMIFS(Kamis!$H$7:$H$186,Kamis!$C$7:$C$186,$B40,Kamis!$A$7:$A$186,"&gt;="&amp;DATE(2026,11,23),Kamis!$A$7:$A$186,"&lt;="&amp;DATE(2026,11,29))+SUMIFS(Jumat!$H$7:$H$186,Jumat!$C$7:$C$186,$B40,Jumat!$A$7:$A$186,"&gt;="&amp;DATE(2026,11,23),Jumat!$A$7:$A$186,"&lt;="&amp;DATE(2026,11,29))</f>
        <v>0</v>
      </c>
      <c r="X40" s="45">
        <f>SUMIFS(Senin!$H$7:$H$146,Senin!$C$7:$C$146,$B40,Senin!$A$7:$A$146,"&gt;="&amp;DATE(2026,11,30),Senin!$A$7:$A$146,"&lt;="&amp;DATE(2026,12,6))+SUMIFS(Selasa!$H$7:$H$166,Selasa!$C$7:$C$166,$B40,Selasa!$A$7:$A$166,"&gt;="&amp;DATE(2026,11,30),Selasa!$A$7:$A$166,"&lt;="&amp;DATE(2026,12,6))+SUMIFS(Rabu!$H$7:$H$206,Rabu!$C$7:$C$206,$B40,Rabu!$A$7:$A$206,"&gt;="&amp;DATE(2026,11,30),Rabu!$A$7:$A$206,"&lt;="&amp;DATE(2026,12,6))+SUMIFS(Kamis!$H$7:$H$186,Kamis!$C$7:$C$186,$B40,Kamis!$A$7:$A$186,"&gt;="&amp;DATE(2026,11,30),Kamis!$A$7:$A$186,"&lt;="&amp;DATE(2026,12,6))+SUMIFS(Jumat!$H$7:$H$186,Jumat!$C$7:$C$186,$B40,Jumat!$A$7:$A$186,"&gt;="&amp;DATE(2026,11,30),Jumat!$A$7:$A$186,"&lt;="&amp;DATE(2026,12,6))</f>
        <v>0</v>
      </c>
      <c r="Y40" s="45">
        <f>SUMIFS(Senin!$H$7:$H$146,Senin!$C$7:$C$146,$B40,Senin!$A$7:$A$146,"&gt;="&amp;DATE(2026,12,7),Senin!$A$7:$A$146,"&lt;="&amp;DATE(2026,12,13))+SUMIFS(Selasa!$H$7:$H$166,Selasa!$C$7:$C$166,$B40,Selasa!$A$7:$A$166,"&gt;="&amp;DATE(2026,12,7),Selasa!$A$7:$A$166,"&lt;="&amp;DATE(2026,12,13))+SUMIFS(Rabu!$H$7:$H$206,Rabu!$C$7:$C$206,$B40,Rabu!$A$7:$A$206,"&gt;="&amp;DATE(2026,12,7),Rabu!$A$7:$A$206,"&lt;="&amp;DATE(2026,12,13))+SUMIFS(Kamis!$H$7:$H$186,Kamis!$C$7:$C$186,$B40,Kamis!$A$7:$A$186,"&gt;="&amp;DATE(2026,12,7),Kamis!$A$7:$A$186,"&lt;="&amp;DATE(2026,12,13))+SUMIFS(Jumat!$H$7:$H$186,Jumat!$C$7:$C$186,$B40,Jumat!$A$7:$A$186,"&gt;="&amp;DATE(2026,12,7),Jumat!$A$7:$A$186,"&lt;="&amp;DATE(2026,12,13))</f>
        <v>0</v>
      </c>
      <c r="Z40" s="45">
        <f>SUMIFS(Senin!$H$7:$H$146,Senin!$C$7:$C$146,$B40,Senin!$A$7:$A$146,"&gt;="&amp;DATE(2026,12,14),Senin!$A$7:$A$146,"&lt;="&amp;DATE(2026,12,20))+SUMIFS(Selasa!$H$7:$H$166,Selasa!$C$7:$C$166,$B40,Selasa!$A$7:$A$166,"&gt;="&amp;DATE(2026,12,14),Selasa!$A$7:$A$166,"&lt;="&amp;DATE(2026,12,20))+SUMIFS(Rabu!$H$7:$H$206,Rabu!$C$7:$C$206,$B40,Rabu!$A$7:$A$206,"&gt;="&amp;DATE(2026,12,14),Rabu!$A$7:$A$206,"&lt;="&amp;DATE(2026,12,20))+SUMIFS(Kamis!$H$7:$H$186,Kamis!$C$7:$C$186,$B40,Kamis!$A$7:$A$186,"&gt;="&amp;DATE(2026,12,14),Kamis!$A$7:$A$186,"&lt;="&amp;DATE(2026,12,20))+SUMIFS(Jumat!$H$7:$H$186,Jumat!$C$7:$C$186,$B40,Jumat!$A$7:$A$186,"&gt;="&amp;DATE(2026,12,14),Jumat!$A$7:$A$186,"&lt;="&amp;DATE(2026,12,20))</f>
        <v>0</v>
      </c>
      <c r="AA40" s="45">
        <f>SUMIFS(Senin!$H$7:$H$146,Senin!$C$7:$C$146,$B40,Senin!$A$7:$A$146,"&gt;="&amp;DATE(2026,12,21),Senin!$A$7:$A$146,"&lt;="&amp;DATE(2026,12,27))+SUMIFS(Selasa!$H$7:$H$166,Selasa!$C$7:$C$166,$B40,Selasa!$A$7:$A$166,"&gt;="&amp;DATE(2026,12,21),Selasa!$A$7:$A$166,"&lt;="&amp;DATE(2026,12,27))+SUMIFS(Rabu!$H$7:$H$206,Rabu!$C$7:$C$206,$B40,Rabu!$A$7:$A$206,"&gt;="&amp;DATE(2026,12,21),Rabu!$A$7:$A$206,"&lt;="&amp;DATE(2026,12,27))+SUMIFS(Kamis!$H$7:$H$186,Kamis!$C$7:$C$186,$B40,Kamis!$A$7:$A$186,"&gt;="&amp;DATE(2026,12,21),Kamis!$A$7:$A$186,"&lt;="&amp;DATE(2026,12,27))+SUMIFS(Jumat!$H$7:$H$186,Jumat!$C$7:$C$186,$B40,Jumat!$A$7:$A$186,"&gt;="&amp;DATE(2026,12,21),Jumat!$A$7:$A$186,"&lt;="&amp;DATE(2026,12,27))</f>
        <v>0</v>
      </c>
      <c r="AB40" s="45">
        <f>SUMIFS(Senin!$H$7:$H$146,Senin!$C$7:$C$146,$B40,Senin!$A$7:$A$146,"&gt;="&amp;DATE(2026,12,28),Senin!$A$7:$A$146,"&lt;="&amp;DATE(2027,1,3))+SUMIFS(Selasa!$H$7:$H$166,Selasa!$C$7:$C$166,$B40,Selasa!$A$7:$A$166,"&gt;="&amp;DATE(2026,12,28),Selasa!$A$7:$A$166,"&lt;="&amp;DATE(2027,1,3))+SUMIFS(Rabu!$H$7:$H$206,Rabu!$C$7:$C$206,$B40,Rabu!$A$7:$A$206,"&gt;="&amp;DATE(2026,12,28),Rabu!$A$7:$A$206,"&lt;="&amp;DATE(2027,1,3))+SUMIFS(Kamis!$H$7:$H$186,Kamis!$C$7:$C$186,$B40,Kamis!$A$7:$A$186,"&gt;="&amp;DATE(2026,12,28),Kamis!$A$7:$A$186,"&lt;="&amp;DATE(2027,1,3))+SUMIFS(Jumat!$H$7:$H$186,Jumat!$C$7:$C$186,$B40,Jumat!$A$7:$A$186,"&gt;="&amp;DATE(2026,12,28),Jumat!$A$7:$A$186,"&lt;="&amp;DATE(2027,1,3))</f>
        <v>0</v>
      </c>
      <c r="AC40" s="45">
        <f>SUMIFS(Senin!$H$7:$H$146,Senin!$C$7:$C$146,$B40,Senin!$A$7:$A$146,"&gt;="&amp;DATE(2027,1,4),Senin!$A$7:$A$146,"&lt;="&amp;DATE(2027,1,10))+SUMIFS(Selasa!$H$7:$H$166,Selasa!$C$7:$C$166,$B40,Selasa!$A$7:$A$166,"&gt;="&amp;DATE(2027,1,4),Selasa!$A$7:$A$166,"&lt;="&amp;DATE(2027,1,10))+SUMIFS(Rabu!$H$7:$H$206,Rabu!$C$7:$C$206,$B40,Rabu!$A$7:$A$206,"&gt;="&amp;DATE(2027,1,4),Rabu!$A$7:$A$206,"&lt;="&amp;DATE(2027,1,10))+SUMIFS(Kamis!$H$7:$H$186,Kamis!$C$7:$C$186,$B40,Kamis!$A$7:$A$186,"&gt;="&amp;DATE(2027,1,4),Kamis!$A$7:$A$186,"&lt;="&amp;DATE(2027,1,10))+SUMIFS(Jumat!$H$7:$H$186,Jumat!$C$7:$C$186,$B40,Jumat!$A$7:$A$186,"&gt;="&amp;DATE(2027,1,4),Jumat!$A$7:$A$186,"&lt;="&amp;DATE(2027,1,10))</f>
        <v>0</v>
      </c>
      <c r="AD40" s="45">
        <f>SUMIFS(Senin!$H$7:$H$146,Senin!$C$7:$C$146,$B40,Senin!$A$7:$A$146,"&gt;="&amp;DATE(2027,1,11),Senin!$A$7:$A$146,"&lt;="&amp;DATE(2027,1,17))+SUMIFS(Selasa!$H$7:$H$166,Selasa!$C$7:$C$166,$B40,Selasa!$A$7:$A$166,"&gt;="&amp;DATE(2027,1,11),Selasa!$A$7:$A$166,"&lt;="&amp;DATE(2027,1,17))+SUMIFS(Rabu!$H$7:$H$206,Rabu!$C$7:$C$206,$B40,Rabu!$A$7:$A$206,"&gt;="&amp;DATE(2027,1,11),Rabu!$A$7:$A$206,"&lt;="&amp;DATE(2027,1,17))+SUMIFS(Kamis!$H$7:$H$186,Kamis!$C$7:$C$186,$B40,Kamis!$A$7:$A$186,"&gt;="&amp;DATE(2027,1,11),Kamis!$A$7:$A$186,"&lt;="&amp;DATE(2027,1,17))+SUMIFS(Jumat!$H$7:$H$186,Jumat!$C$7:$C$186,$B40,Jumat!$A$7:$A$186,"&gt;="&amp;DATE(2027,1,11),Jumat!$A$7:$A$186,"&lt;="&amp;DATE(2027,1,17))</f>
        <v>0</v>
      </c>
    </row>
    <row r="41" ht="15.75" customHeight="1">
      <c r="A41" s="62">
        <v>38.0</v>
      </c>
      <c r="B41" s="26" t="s">
        <v>43</v>
      </c>
      <c r="C41" s="41">
        <f>COUNTIFS(Senin!$C$7:$C$146,$B41,Senin!$G$7:$G$146,"Ya",Senin!$E$7:$E$146,"&lt;&gt;")+COUNTIFS(Selasa!$C$7:$C$166,$B41,Selasa!$G$7:$G$166,"Ya",Selasa!$E$7:$E$166,"&lt;&gt;")+COUNTIFS(Rabu!$C$7:$C$206,$B41,Rabu!$G$7:$G$206,"Ya",Rabu!$E$7:$E$206,"&lt;&gt;")+COUNTIFS(Kamis!$C$7:$C$186,$B41,Kamis!$G$7:$G$186,"Ya",Kamis!$E$7:$E$186,"&lt;&gt;")+COUNTIFS(Jumat!$C$7:$C$186,$B41,Jumat!$G$7:$G$186,"Ya",Jumat!$E$7:$E$186,"&lt;&gt;")</f>
        <v>0</v>
      </c>
      <c r="D41" s="41">
        <f>COUNTIFS(Senin!$C$7:$C$146,$B41,Senin!$G$7:$G$146,"Ya",Senin!$E$7:$E$146,"")+COUNTIFS(Selasa!$C$7:$C$166,$B41,Selasa!$G$7:$G$166,"Ya",Selasa!$E$7:$E$166,"")+COUNTIFS(Rabu!$C$7:$C$206,$B41,Rabu!$G$7:$G$206,"Ya",Rabu!$E$7:$E$206,"")+COUNTIFS(Kamis!$C$7:$C$186,$B41,Kamis!$G$7:$G$186,"Ya",Kamis!$E$7:$E$186,"")+COUNTIFS(Jumat!$C$7:$C$186,$B41,Jumat!$G$7:$G$186,"Ya",Jumat!$E$7:$E$186,"")</f>
        <v>0</v>
      </c>
      <c r="E41" s="45">
        <f>SUMIFS(Senin!$H$7:$H$146,Senin!$C$7:$C$146,$B41,Senin!$A$7:$A$146,"&gt;="&amp;DATE(2026,8,1),Senin!$A$7:$A$146,"&lt;="&amp;DATE(2026,12,31))+SUMIFS(Selasa!$H$7:$H$166,Selasa!$C$7:$C$166,$B41,Selasa!$A$7:$A$166,"&gt;="&amp;DATE(2026,8,1),Selasa!$A$7:$A$166,"&lt;="&amp;DATE(2026,12,31))+SUMIFS(Rabu!$H$7:$H$206,Rabu!$C$7:$C$206,$B41,Rabu!$A$7:$A$206,"&gt;="&amp;DATE(2026,8,1),Rabu!$A$7:$A$206,"&lt;="&amp;DATE(2026,12,31))+SUMIFS(Kamis!$H$7:$H$186,Kamis!$C$7:$C$186,$B41,Kamis!$A$7:$A$186,"&gt;="&amp;DATE(2026,8,1),Kamis!$A$7:$A$186,"&lt;="&amp;DATE(2026,12,31))+SUMIFS(Jumat!$H$7:$H$186,Jumat!$C$7:$C$186,$B41,Jumat!$A$7:$A$186,"&gt;="&amp;DATE(2026,8,1),Jumat!$A$7:$A$186,"&lt;="&amp;DATE(2026,12,31))</f>
        <v>0</v>
      </c>
      <c r="F41" s="45">
        <f>SUMIFS(Senin!$H$7:$H$146,Senin!$C$7:$C$146,$B41,Senin!$A$7:$A$146,"&gt;="&amp;DATE(2026,8,1),Senin!$A$7:$A$146,"&lt;="&amp;DATE(2026,8,31))+SUMIFS(Selasa!$H$7:$H$166,Selasa!$C$7:$C$166,$B41,Selasa!$A$7:$A$166,"&gt;="&amp;DATE(2026,8,1),Selasa!$A$7:$A$166,"&lt;="&amp;DATE(2026,8,31))+SUMIFS(Rabu!$H$7:$H$206,Rabu!$C$7:$C$206,$B41,Rabu!$A$7:$A$206,"&gt;="&amp;DATE(2026,8,1),Rabu!$A$7:$A$206,"&lt;="&amp;DATE(2026,8,31))+SUMIFS(Kamis!$H$7:$H$186,Kamis!$C$7:$C$186,$B41,Kamis!$A$7:$A$186,"&gt;="&amp;DATE(2026,8,1),Kamis!$A$7:$A$186,"&lt;="&amp;DATE(2026,8,31))+SUMIFS(Jumat!$H$7:$H$186,Jumat!$C$7:$C$186,$B41,Jumat!$A$7:$A$186,"&gt;="&amp;DATE(2026,8,1),Jumat!$A$7:$A$186,"&lt;="&amp;DATE(2026,8,31))</f>
        <v>0</v>
      </c>
      <c r="G41" s="45">
        <f>SUMIFS(Senin!$H$7:$H$146,Senin!$C$7:$C$146,$B41,Senin!$A$7:$A$146,"&gt;="&amp;DATE(2026,9,1),Senin!$A$7:$A$146,"&lt;="&amp;DATE(2026,9,30))+SUMIFS(Selasa!$H$7:$H$166,Selasa!$C$7:$C$166,$B41,Selasa!$A$7:$A$166,"&gt;="&amp;DATE(2026,9,1),Selasa!$A$7:$A$166,"&lt;="&amp;DATE(2026,9,30))+SUMIFS(Rabu!$H$7:$H$206,Rabu!$C$7:$C$206,$B41,Rabu!$A$7:$A$206,"&gt;="&amp;DATE(2026,9,1),Rabu!$A$7:$A$206,"&lt;="&amp;DATE(2026,9,30))+SUMIFS(Kamis!$H$7:$H$186,Kamis!$C$7:$C$186,$B41,Kamis!$A$7:$A$186,"&gt;="&amp;DATE(2026,9,1),Kamis!$A$7:$A$186,"&lt;="&amp;DATE(2026,9,30))+SUMIFS(Jumat!$H$7:$H$186,Jumat!$C$7:$C$186,$B41,Jumat!$A$7:$A$186,"&gt;="&amp;DATE(2026,9,1),Jumat!$A$7:$A$186,"&lt;="&amp;DATE(2026,9,30))</f>
        <v>0</v>
      </c>
      <c r="H41" s="45">
        <f>SUMIFS(Senin!$H$7:$H$146,Senin!$C$7:$C$146,$B41,Senin!$A$7:$A$146,"&gt;="&amp;DATE(2026,10,1),Senin!$A$7:$A$146,"&lt;="&amp;DATE(2026,10,31))+SUMIFS(Selasa!$H$7:$H$166,Selasa!$C$7:$C$166,$B41,Selasa!$A$7:$A$166,"&gt;="&amp;DATE(2026,10,1),Selasa!$A$7:$A$166,"&lt;="&amp;DATE(2026,10,31))+SUMIFS(Rabu!$H$7:$H$206,Rabu!$C$7:$C$206,$B41,Rabu!$A$7:$A$206,"&gt;="&amp;DATE(2026,10,1),Rabu!$A$7:$A$206,"&lt;="&amp;DATE(2026,10,31))+SUMIFS(Kamis!$H$7:$H$186,Kamis!$C$7:$C$186,$B41,Kamis!$A$7:$A$186,"&gt;="&amp;DATE(2026,10,1),Kamis!$A$7:$A$186,"&lt;="&amp;DATE(2026,10,31))+SUMIFS(Jumat!$H$7:$H$186,Jumat!$C$7:$C$186,$B41,Jumat!$A$7:$A$186,"&gt;="&amp;DATE(2026,10,1),Jumat!$A$7:$A$186,"&lt;="&amp;DATE(2026,10,31))</f>
        <v>0</v>
      </c>
      <c r="I41" s="45">
        <f>SUMIFS(Senin!$H$7:$H$146,Senin!$C$7:$C$146,$B41,Senin!$A$7:$A$146,"&gt;="&amp;DATE(2026,11,1),Senin!$A$7:$A$146,"&lt;="&amp;DATE(2026,11,30))+SUMIFS(Selasa!$H$7:$H$166,Selasa!$C$7:$C$166,$B41,Selasa!$A$7:$A$166,"&gt;="&amp;DATE(2026,11,1),Selasa!$A$7:$A$166,"&lt;="&amp;DATE(2026,11,30))+SUMIFS(Rabu!$H$7:$H$206,Rabu!$C$7:$C$206,$B41,Rabu!$A$7:$A$206,"&gt;="&amp;DATE(2026,11,1),Rabu!$A$7:$A$206,"&lt;="&amp;DATE(2026,11,30))+SUMIFS(Kamis!$H$7:$H$186,Kamis!$C$7:$C$186,$B41,Kamis!$A$7:$A$186,"&gt;="&amp;DATE(2026,11,1),Kamis!$A$7:$A$186,"&lt;="&amp;DATE(2026,11,30))+SUMIFS(Jumat!$H$7:$H$186,Jumat!$C$7:$C$186,$B41,Jumat!$A$7:$A$186,"&gt;="&amp;DATE(2026,11,1),Jumat!$A$7:$A$186,"&lt;="&amp;DATE(2026,11,30))</f>
        <v>0</v>
      </c>
      <c r="J41" s="45">
        <f>SUMIFS(Senin!$H$7:$H$146,Senin!$C$7:$C$146,$B41,Senin!$A$7:$A$146,"&gt;="&amp;DATE(2026,12,1),Senin!$A$7:$A$146,"&lt;="&amp;DATE(2026,12,31))+SUMIFS(Selasa!$H$7:$H$166,Selasa!$C$7:$C$166,$B41,Selasa!$A$7:$A$166,"&gt;="&amp;DATE(2026,12,1),Selasa!$A$7:$A$166,"&lt;="&amp;DATE(2026,12,31))+SUMIFS(Rabu!$H$7:$H$206,Rabu!$C$7:$C$206,$B41,Rabu!$A$7:$A$206,"&gt;="&amp;DATE(2026,12,1),Rabu!$A$7:$A$206,"&lt;="&amp;DATE(2026,12,31))+SUMIFS(Kamis!$H$7:$H$186,Kamis!$C$7:$C$186,$B41,Kamis!$A$7:$A$186,"&gt;="&amp;DATE(2026,12,1),Kamis!$A$7:$A$186,"&lt;="&amp;DATE(2026,12,31))+SUMIFS(Jumat!$H$7:$H$186,Jumat!$C$7:$C$186,$B41,Jumat!$A$7:$A$186,"&gt;="&amp;DATE(2026,12,1),Jumat!$A$7:$A$186,"&lt;="&amp;DATE(2026,12,31))</f>
        <v>0</v>
      </c>
      <c r="K41" s="45">
        <f>SUMIFS(Senin!$H$7:$H$146,Senin!$C$7:$C$146,$B41,Senin!$A$7:$A$146,"&gt;="&amp;DATE(2026,8,31),Senin!$A$7:$A$146,"&lt;="&amp;DATE(2026,9,6))+SUMIFS(Selasa!$H$7:$H$166,Selasa!$C$7:$C$166,$B41,Selasa!$A$7:$A$166,"&gt;="&amp;DATE(2026,8,31),Selasa!$A$7:$A$166,"&lt;="&amp;DATE(2026,9,6))+SUMIFS(Rabu!$H$7:$H$206,Rabu!$C$7:$C$206,$B41,Rabu!$A$7:$A$206,"&gt;="&amp;DATE(2026,8,31),Rabu!$A$7:$A$206,"&lt;="&amp;DATE(2026,9,6))+SUMIFS(Kamis!$H$7:$H$186,Kamis!$C$7:$C$186,$B41,Kamis!$A$7:$A$186,"&gt;="&amp;DATE(2026,8,31),Kamis!$A$7:$A$186,"&lt;="&amp;DATE(2026,9,6))+SUMIFS(Jumat!$H$7:$H$186,Jumat!$C$7:$C$186,$B41,Jumat!$A$7:$A$186,"&gt;="&amp;DATE(2026,8,31),Jumat!$A$7:$A$186,"&lt;="&amp;DATE(2026,9,6))</f>
        <v>0</v>
      </c>
      <c r="L41" s="45">
        <f>SUMIFS(Senin!$H$7:$H$146,Senin!$C$7:$C$146,$B41,Senin!$A$7:$A$146,"&gt;="&amp;DATE(2026,9,7),Senin!$A$7:$A$146,"&lt;="&amp;DATE(2026,9,13))+SUMIFS(Selasa!$H$7:$H$166,Selasa!$C$7:$C$166,$B41,Selasa!$A$7:$A$166,"&gt;="&amp;DATE(2026,9,7),Selasa!$A$7:$A$166,"&lt;="&amp;DATE(2026,9,13))+SUMIFS(Rabu!$H$7:$H$206,Rabu!$C$7:$C$206,$B41,Rabu!$A$7:$A$206,"&gt;="&amp;DATE(2026,9,7),Rabu!$A$7:$A$206,"&lt;="&amp;DATE(2026,9,13))+SUMIFS(Kamis!$H$7:$H$186,Kamis!$C$7:$C$186,$B41,Kamis!$A$7:$A$186,"&gt;="&amp;DATE(2026,9,7),Kamis!$A$7:$A$186,"&lt;="&amp;DATE(2026,9,13))+SUMIFS(Jumat!$H$7:$H$186,Jumat!$C$7:$C$186,$B41,Jumat!$A$7:$A$186,"&gt;="&amp;DATE(2026,9,7),Jumat!$A$7:$A$186,"&lt;="&amp;DATE(2026,9,13))</f>
        <v>0</v>
      </c>
      <c r="M41" s="45">
        <f>SUMIFS(Senin!$H$7:$H$146,Senin!$C$7:$C$146,$B41,Senin!$A$7:$A$146,"&gt;="&amp;DATE(2026,9,14),Senin!$A$7:$A$146,"&lt;="&amp;DATE(2026,9,20))+SUMIFS(Selasa!$H$7:$H$166,Selasa!$C$7:$C$166,$B41,Selasa!$A$7:$A$166,"&gt;="&amp;DATE(2026,9,14),Selasa!$A$7:$A$166,"&lt;="&amp;DATE(2026,9,20))+SUMIFS(Rabu!$H$7:$H$206,Rabu!$C$7:$C$206,$B41,Rabu!$A$7:$A$206,"&gt;="&amp;DATE(2026,9,14),Rabu!$A$7:$A$206,"&lt;="&amp;DATE(2026,9,20))+SUMIFS(Kamis!$H$7:$H$186,Kamis!$C$7:$C$186,$B41,Kamis!$A$7:$A$186,"&gt;="&amp;DATE(2026,9,14),Kamis!$A$7:$A$186,"&lt;="&amp;DATE(2026,9,20))+SUMIFS(Jumat!$H$7:$H$186,Jumat!$C$7:$C$186,$B41,Jumat!$A$7:$A$186,"&gt;="&amp;DATE(2026,9,14),Jumat!$A$7:$A$186,"&lt;="&amp;DATE(2026,9,20))</f>
        <v>0</v>
      </c>
      <c r="N41" s="45">
        <f>SUMIFS(Senin!$H$7:$H$146,Senin!$C$7:$C$146,$B41,Senin!$A$7:$A$146,"&gt;="&amp;DATE(2026,9,21),Senin!$A$7:$A$146,"&lt;="&amp;DATE(2026,9,27))+SUMIFS(Selasa!$H$7:$H$166,Selasa!$C$7:$C$166,$B41,Selasa!$A$7:$A$166,"&gt;="&amp;DATE(2026,9,21),Selasa!$A$7:$A$166,"&lt;="&amp;DATE(2026,9,27))+SUMIFS(Rabu!$H$7:$H$206,Rabu!$C$7:$C$206,$B41,Rabu!$A$7:$A$206,"&gt;="&amp;DATE(2026,9,21),Rabu!$A$7:$A$206,"&lt;="&amp;DATE(2026,9,27))+SUMIFS(Kamis!$H$7:$H$186,Kamis!$C$7:$C$186,$B41,Kamis!$A$7:$A$186,"&gt;="&amp;DATE(2026,9,21),Kamis!$A$7:$A$186,"&lt;="&amp;DATE(2026,9,27))+SUMIFS(Jumat!$H$7:$H$186,Jumat!$C$7:$C$186,$B41,Jumat!$A$7:$A$186,"&gt;="&amp;DATE(2026,9,21),Jumat!$A$7:$A$186,"&lt;="&amp;DATE(2026,9,27))</f>
        <v>0</v>
      </c>
      <c r="O41" s="45">
        <f>SUMIFS(Senin!$H$7:$H$146,Senin!$C$7:$C$146,$B41,Senin!$A$7:$A$146,"&gt;="&amp;DATE(2026,9,28),Senin!$A$7:$A$146,"&lt;="&amp;DATE(2026,10,4))+SUMIFS(Selasa!$H$7:$H$166,Selasa!$C$7:$C$166,$B41,Selasa!$A$7:$A$166,"&gt;="&amp;DATE(2026,9,28),Selasa!$A$7:$A$166,"&lt;="&amp;DATE(2026,10,4))+SUMIFS(Rabu!$H$7:$H$206,Rabu!$C$7:$C$206,$B41,Rabu!$A$7:$A$206,"&gt;="&amp;DATE(2026,9,28),Rabu!$A$7:$A$206,"&lt;="&amp;DATE(2026,10,4))+SUMIFS(Kamis!$H$7:$H$186,Kamis!$C$7:$C$186,$B41,Kamis!$A$7:$A$186,"&gt;="&amp;DATE(2026,9,28),Kamis!$A$7:$A$186,"&lt;="&amp;DATE(2026,10,4))+SUMIFS(Jumat!$H$7:$H$186,Jumat!$C$7:$C$186,$B41,Jumat!$A$7:$A$186,"&gt;="&amp;DATE(2026,9,28),Jumat!$A$7:$A$186,"&lt;="&amp;DATE(2026,10,4))</f>
        <v>0</v>
      </c>
      <c r="P41" s="45">
        <f>SUMIFS(Senin!$H$7:$H$146,Senin!$C$7:$C$146,$B41,Senin!$A$7:$A$146,"&gt;="&amp;DATE(2026,10,5),Senin!$A$7:$A$146,"&lt;="&amp;DATE(2026,10,11))+SUMIFS(Selasa!$H$7:$H$166,Selasa!$C$7:$C$166,$B41,Selasa!$A$7:$A$166,"&gt;="&amp;DATE(2026,10,5),Selasa!$A$7:$A$166,"&lt;="&amp;DATE(2026,10,11))+SUMIFS(Rabu!$H$7:$H$206,Rabu!$C$7:$C$206,$B41,Rabu!$A$7:$A$206,"&gt;="&amp;DATE(2026,10,5),Rabu!$A$7:$A$206,"&lt;="&amp;DATE(2026,10,11))+SUMIFS(Kamis!$H$7:$H$186,Kamis!$C$7:$C$186,$B41,Kamis!$A$7:$A$186,"&gt;="&amp;DATE(2026,10,5),Kamis!$A$7:$A$186,"&lt;="&amp;DATE(2026,10,11))+SUMIFS(Jumat!$H$7:$H$186,Jumat!$C$7:$C$186,$B41,Jumat!$A$7:$A$186,"&gt;="&amp;DATE(2026,10,5),Jumat!$A$7:$A$186,"&lt;="&amp;DATE(2026,10,11))</f>
        <v>0</v>
      </c>
      <c r="Q41" s="45">
        <f>SUMIFS(Senin!$H$7:$H$146,Senin!$C$7:$C$146,$B41,Senin!$A$7:$A$146,"&gt;="&amp;DATE(2026,10,12),Senin!$A$7:$A$146,"&lt;="&amp;DATE(2026,10,18))+SUMIFS(Selasa!$H$7:$H$166,Selasa!$C$7:$C$166,$B41,Selasa!$A$7:$A$166,"&gt;="&amp;DATE(2026,10,12),Selasa!$A$7:$A$166,"&lt;="&amp;DATE(2026,10,18))+SUMIFS(Rabu!$H$7:$H$206,Rabu!$C$7:$C$206,$B41,Rabu!$A$7:$A$206,"&gt;="&amp;DATE(2026,10,12),Rabu!$A$7:$A$206,"&lt;="&amp;DATE(2026,10,18))+SUMIFS(Kamis!$H$7:$H$186,Kamis!$C$7:$C$186,$B41,Kamis!$A$7:$A$186,"&gt;="&amp;DATE(2026,10,12),Kamis!$A$7:$A$186,"&lt;="&amp;DATE(2026,10,18))+SUMIFS(Jumat!$H$7:$H$186,Jumat!$C$7:$C$186,$B41,Jumat!$A$7:$A$186,"&gt;="&amp;DATE(2026,10,12),Jumat!$A$7:$A$186,"&lt;="&amp;DATE(2026,10,18))</f>
        <v>0</v>
      </c>
      <c r="R41" s="45">
        <f>SUMIFS(Senin!$H$7:$H$146,Senin!$C$7:$C$146,$B41,Senin!$A$7:$A$146,"&gt;="&amp;DATE(2026,10,19),Senin!$A$7:$A$146,"&lt;="&amp;DATE(2026,10,25))+SUMIFS(Selasa!$H$7:$H$166,Selasa!$C$7:$C$166,$B41,Selasa!$A$7:$A$166,"&gt;="&amp;DATE(2026,10,19),Selasa!$A$7:$A$166,"&lt;="&amp;DATE(2026,10,25))+SUMIFS(Rabu!$H$7:$H$206,Rabu!$C$7:$C$206,$B41,Rabu!$A$7:$A$206,"&gt;="&amp;DATE(2026,10,19),Rabu!$A$7:$A$206,"&lt;="&amp;DATE(2026,10,25))+SUMIFS(Kamis!$H$7:$H$186,Kamis!$C$7:$C$186,$B41,Kamis!$A$7:$A$186,"&gt;="&amp;DATE(2026,10,19),Kamis!$A$7:$A$186,"&lt;="&amp;DATE(2026,10,25))+SUMIFS(Jumat!$H$7:$H$186,Jumat!$C$7:$C$186,$B41,Jumat!$A$7:$A$186,"&gt;="&amp;DATE(2026,10,19),Jumat!$A$7:$A$186,"&lt;="&amp;DATE(2026,10,25))</f>
        <v>0</v>
      </c>
      <c r="S41" s="45">
        <f>SUMIFS(Senin!$H$7:$H$146,Senin!$C$7:$C$146,$B41,Senin!$A$7:$A$146,"&gt;="&amp;DATE(2026,10,26),Senin!$A$7:$A$146,"&lt;="&amp;DATE(2026,11,1))+SUMIFS(Selasa!$H$7:$H$166,Selasa!$C$7:$C$166,$B41,Selasa!$A$7:$A$166,"&gt;="&amp;DATE(2026,10,26),Selasa!$A$7:$A$166,"&lt;="&amp;DATE(2026,11,1))+SUMIFS(Rabu!$H$7:$H$206,Rabu!$C$7:$C$206,$B41,Rabu!$A$7:$A$206,"&gt;="&amp;DATE(2026,10,26),Rabu!$A$7:$A$206,"&lt;="&amp;DATE(2026,11,1))+SUMIFS(Kamis!$H$7:$H$186,Kamis!$C$7:$C$186,$B41,Kamis!$A$7:$A$186,"&gt;="&amp;DATE(2026,10,26),Kamis!$A$7:$A$186,"&lt;="&amp;DATE(2026,11,1))+SUMIFS(Jumat!$H$7:$H$186,Jumat!$C$7:$C$186,$B41,Jumat!$A$7:$A$186,"&gt;="&amp;DATE(2026,10,26),Jumat!$A$7:$A$186,"&lt;="&amp;DATE(2026,11,1))</f>
        <v>0</v>
      </c>
      <c r="T41" s="45">
        <f>SUMIFS(Senin!$H$7:$H$146,Senin!$C$7:$C$146,$B41,Senin!$A$7:$A$146,"&gt;="&amp;DATE(2026,11,2),Senin!$A$7:$A$146,"&lt;="&amp;DATE(2026,11,8))+SUMIFS(Selasa!$H$7:$H$166,Selasa!$C$7:$C$166,$B41,Selasa!$A$7:$A$166,"&gt;="&amp;DATE(2026,11,2),Selasa!$A$7:$A$166,"&lt;="&amp;DATE(2026,11,8))+SUMIFS(Rabu!$H$7:$H$206,Rabu!$C$7:$C$206,$B41,Rabu!$A$7:$A$206,"&gt;="&amp;DATE(2026,11,2),Rabu!$A$7:$A$206,"&lt;="&amp;DATE(2026,11,8))+SUMIFS(Kamis!$H$7:$H$186,Kamis!$C$7:$C$186,$B41,Kamis!$A$7:$A$186,"&gt;="&amp;DATE(2026,11,2),Kamis!$A$7:$A$186,"&lt;="&amp;DATE(2026,11,8))+SUMIFS(Jumat!$H$7:$H$186,Jumat!$C$7:$C$186,$B41,Jumat!$A$7:$A$186,"&gt;="&amp;DATE(2026,11,2),Jumat!$A$7:$A$186,"&lt;="&amp;DATE(2026,11,8))</f>
        <v>0</v>
      </c>
      <c r="U41" s="45">
        <f>SUMIFS(Senin!$H$7:$H$146,Senin!$C$7:$C$146,$B41,Senin!$A$7:$A$146,"&gt;="&amp;DATE(2026,11,9),Senin!$A$7:$A$146,"&lt;="&amp;DATE(2026,11,15))+SUMIFS(Selasa!$H$7:$H$166,Selasa!$C$7:$C$166,$B41,Selasa!$A$7:$A$166,"&gt;="&amp;DATE(2026,11,9),Selasa!$A$7:$A$166,"&lt;="&amp;DATE(2026,11,15))+SUMIFS(Rabu!$H$7:$H$206,Rabu!$C$7:$C$206,$B41,Rabu!$A$7:$A$206,"&gt;="&amp;DATE(2026,11,9),Rabu!$A$7:$A$206,"&lt;="&amp;DATE(2026,11,15))+SUMIFS(Kamis!$H$7:$H$186,Kamis!$C$7:$C$186,$B41,Kamis!$A$7:$A$186,"&gt;="&amp;DATE(2026,11,9),Kamis!$A$7:$A$186,"&lt;="&amp;DATE(2026,11,15))+SUMIFS(Jumat!$H$7:$H$186,Jumat!$C$7:$C$186,$B41,Jumat!$A$7:$A$186,"&gt;="&amp;DATE(2026,11,9),Jumat!$A$7:$A$186,"&lt;="&amp;DATE(2026,11,15))</f>
        <v>0</v>
      </c>
      <c r="V41" s="45">
        <f>SUMIFS(Senin!$H$7:$H$146,Senin!$C$7:$C$146,$B41,Senin!$A$7:$A$146,"&gt;="&amp;DATE(2026,11,16),Senin!$A$7:$A$146,"&lt;="&amp;DATE(2026,11,22))+SUMIFS(Selasa!$H$7:$H$166,Selasa!$C$7:$C$166,$B41,Selasa!$A$7:$A$166,"&gt;="&amp;DATE(2026,11,16),Selasa!$A$7:$A$166,"&lt;="&amp;DATE(2026,11,22))+SUMIFS(Rabu!$H$7:$H$206,Rabu!$C$7:$C$206,$B41,Rabu!$A$7:$A$206,"&gt;="&amp;DATE(2026,11,16),Rabu!$A$7:$A$206,"&lt;="&amp;DATE(2026,11,22))+SUMIFS(Kamis!$H$7:$H$186,Kamis!$C$7:$C$186,$B41,Kamis!$A$7:$A$186,"&gt;="&amp;DATE(2026,11,16),Kamis!$A$7:$A$186,"&lt;="&amp;DATE(2026,11,22))+SUMIFS(Jumat!$H$7:$H$186,Jumat!$C$7:$C$186,$B41,Jumat!$A$7:$A$186,"&gt;="&amp;DATE(2026,11,16),Jumat!$A$7:$A$186,"&lt;="&amp;DATE(2026,11,22))</f>
        <v>0</v>
      </c>
      <c r="W41" s="45">
        <f>SUMIFS(Senin!$H$7:$H$146,Senin!$C$7:$C$146,$B41,Senin!$A$7:$A$146,"&gt;="&amp;DATE(2026,11,23),Senin!$A$7:$A$146,"&lt;="&amp;DATE(2026,11,29))+SUMIFS(Selasa!$H$7:$H$166,Selasa!$C$7:$C$166,$B41,Selasa!$A$7:$A$166,"&gt;="&amp;DATE(2026,11,23),Selasa!$A$7:$A$166,"&lt;="&amp;DATE(2026,11,29))+SUMIFS(Rabu!$H$7:$H$206,Rabu!$C$7:$C$206,$B41,Rabu!$A$7:$A$206,"&gt;="&amp;DATE(2026,11,23),Rabu!$A$7:$A$206,"&lt;="&amp;DATE(2026,11,29))+SUMIFS(Kamis!$H$7:$H$186,Kamis!$C$7:$C$186,$B41,Kamis!$A$7:$A$186,"&gt;="&amp;DATE(2026,11,23),Kamis!$A$7:$A$186,"&lt;="&amp;DATE(2026,11,29))+SUMIFS(Jumat!$H$7:$H$186,Jumat!$C$7:$C$186,$B41,Jumat!$A$7:$A$186,"&gt;="&amp;DATE(2026,11,23),Jumat!$A$7:$A$186,"&lt;="&amp;DATE(2026,11,29))</f>
        <v>0</v>
      </c>
      <c r="X41" s="45">
        <f>SUMIFS(Senin!$H$7:$H$146,Senin!$C$7:$C$146,$B41,Senin!$A$7:$A$146,"&gt;="&amp;DATE(2026,11,30),Senin!$A$7:$A$146,"&lt;="&amp;DATE(2026,12,6))+SUMIFS(Selasa!$H$7:$H$166,Selasa!$C$7:$C$166,$B41,Selasa!$A$7:$A$166,"&gt;="&amp;DATE(2026,11,30),Selasa!$A$7:$A$166,"&lt;="&amp;DATE(2026,12,6))+SUMIFS(Rabu!$H$7:$H$206,Rabu!$C$7:$C$206,$B41,Rabu!$A$7:$A$206,"&gt;="&amp;DATE(2026,11,30),Rabu!$A$7:$A$206,"&lt;="&amp;DATE(2026,12,6))+SUMIFS(Kamis!$H$7:$H$186,Kamis!$C$7:$C$186,$B41,Kamis!$A$7:$A$186,"&gt;="&amp;DATE(2026,11,30),Kamis!$A$7:$A$186,"&lt;="&amp;DATE(2026,12,6))+SUMIFS(Jumat!$H$7:$H$186,Jumat!$C$7:$C$186,$B41,Jumat!$A$7:$A$186,"&gt;="&amp;DATE(2026,11,30),Jumat!$A$7:$A$186,"&lt;="&amp;DATE(2026,12,6))</f>
        <v>0</v>
      </c>
      <c r="Y41" s="45">
        <f>SUMIFS(Senin!$H$7:$H$146,Senin!$C$7:$C$146,$B41,Senin!$A$7:$A$146,"&gt;="&amp;DATE(2026,12,7),Senin!$A$7:$A$146,"&lt;="&amp;DATE(2026,12,13))+SUMIFS(Selasa!$H$7:$H$166,Selasa!$C$7:$C$166,$B41,Selasa!$A$7:$A$166,"&gt;="&amp;DATE(2026,12,7),Selasa!$A$7:$A$166,"&lt;="&amp;DATE(2026,12,13))+SUMIFS(Rabu!$H$7:$H$206,Rabu!$C$7:$C$206,$B41,Rabu!$A$7:$A$206,"&gt;="&amp;DATE(2026,12,7),Rabu!$A$7:$A$206,"&lt;="&amp;DATE(2026,12,13))+SUMIFS(Kamis!$H$7:$H$186,Kamis!$C$7:$C$186,$B41,Kamis!$A$7:$A$186,"&gt;="&amp;DATE(2026,12,7),Kamis!$A$7:$A$186,"&lt;="&amp;DATE(2026,12,13))+SUMIFS(Jumat!$H$7:$H$186,Jumat!$C$7:$C$186,$B41,Jumat!$A$7:$A$186,"&gt;="&amp;DATE(2026,12,7),Jumat!$A$7:$A$186,"&lt;="&amp;DATE(2026,12,13))</f>
        <v>0</v>
      </c>
      <c r="Z41" s="45">
        <f>SUMIFS(Senin!$H$7:$H$146,Senin!$C$7:$C$146,$B41,Senin!$A$7:$A$146,"&gt;="&amp;DATE(2026,12,14),Senin!$A$7:$A$146,"&lt;="&amp;DATE(2026,12,20))+SUMIFS(Selasa!$H$7:$H$166,Selasa!$C$7:$C$166,$B41,Selasa!$A$7:$A$166,"&gt;="&amp;DATE(2026,12,14),Selasa!$A$7:$A$166,"&lt;="&amp;DATE(2026,12,20))+SUMIFS(Rabu!$H$7:$H$206,Rabu!$C$7:$C$206,$B41,Rabu!$A$7:$A$206,"&gt;="&amp;DATE(2026,12,14),Rabu!$A$7:$A$206,"&lt;="&amp;DATE(2026,12,20))+SUMIFS(Kamis!$H$7:$H$186,Kamis!$C$7:$C$186,$B41,Kamis!$A$7:$A$186,"&gt;="&amp;DATE(2026,12,14),Kamis!$A$7:$A$186,"&lt;="&amp;DATE(2026,12,20))+SUMIFS(Jumat!$H$7:$H$186,Jumat!$C$7:$C$186,$B41,Jumat!$A$7:$A$186,"&gt;="&amp;DATE(2026,12,14),Jumat!$A$7:$A$186,"&lt;="&amp;DATE(2026,12,20))</f>
        <v>0</v>
      </c>
      <c r="AA41" s="45">
        <f>SUMIFS(Senin!$H$7:$H$146,Senin!$C$7:$C$146,$B41,Senin!$A$7:$A$146,"&gt;="&amp;DATE(2026,12,21),Senin!$A$7:$A$146,"&lt;="&amp;DATE(2026,12,27))+SUMIFS(Selasa!$H$7:$H$166,Selasa!$C$7:$C$166,$B41,Selasa!$A$7:$A$166,"&gt;="&amp;DATE(2026,12,21),Selasa!$A$7:$A$166,"&lt;="&amp;DATE(2026,12,27))+SUMIFS(Rabu!$H$7:$H$206,Rabu!$C$7:$C$206,$B41,Rabu!$A$7:$A$206,"&gt;="&amp;DATE(2026,12,21),Rabu!$A$7:$A$206,"&lt;="&amp;DATE(2026,12,27))+SUMIFS(Kamis!$H$7:$H$186,Kamis!$C$7:$C$186,$B41,Kamis!$A$7:$A$186,"&gt;="&amp;DATE(2026,12,21),Kamis!$A$7:$A$186,"&lt;="&amp;DATE(2026,12,27))+SUMIFS(Jumat!$H$7:$H$186,Jumat!$C$7:$C$186,$B41,Jumat!$A$7:$A$186,"&gt;="&amp;DATE(2026,12,21),Jumat!$A$7:$A$186,"&lt;="&amp;DATE(2026,12,27))</f>
        <v>0</v>
      </c>
      <c r="AB41" s="45">
        <f>SUMIFS(Senin!$H$7:$H$146,Senin!$C$7:$C$146,$B41,Senin!$A$7:$A$146,"&gt;="&amp;DATE(2026,12,28),Senin!$A$7:$A$146,"&lt;="&amp;DATE(2027,1,3))+SUMIFS(Selasa!$H$7:$H$166,Selasa!$C$7:$C$166,$B41,Selasa!$A$7:$A$166,"&gt;="&amp;DATE(2026,12,28),Selasa!$A$7:$A$166,"&lt;="&amp;DATE(2027,1,3))+SUMIFS(Rabu!$H$7:$H$206,Rabu!$C$7:$C$206,$B41,Rabu!$A$7:$A$206,"&gt;="&amp;DATE(2026,12,28),Rabu!$A$7:$A$206,"&lt;="&amp;DATE(2027,1,3))+SUMIFS(Kamis!$H$7:$H$186,Kamis!$C$7:$C$186,$B41,Kamis!$A$7:$A$186,"&gt;="&amp;DATE(2026,12,28),Kamis!$A$7:$A$186,"&lt;="&amp;DATE(2027,1,3))+SUMIFS(Jumat!$H$7:$H$186,Jumat!$C$7:$C$186,$B41,Jumat!$A$7:$A$186,"&gt;="&amp;DATE(2026,12,28),Jumat!$A$7:$A$186,"&lt;="&amp;DATE(2027,1,3))</f>
        <v>0</v>
      </c>
      <c r="AC41" s="45">
        <f>SUMIFS(Senin!$H$7:$H$146,Senin!$C$7:$C$146,$B41,Senin!$A$7:$A$146,"&gt;="&amp;DATE(2027,1,4),Senin!$A$7:$A$146,"&lt;="&amp;DATE(2027,1,10))+SUMIFS(Selasa!$H$7:$H$166,Selasa!$C$7:$C$166,$B41,Selasa!$A$7:$A$166,"&gt;="&amp;DATE(2027,1,4),Selasa!$A$7:$A$166,"&lt;="&amp;DATE(2027,1,10))+SUMIFS(Rabu!$H$7:$H$206,Rabu!$C$7:$C$206,$B41,Rabu!$A$7:$A$206,"&gt;="&amp;DATE(2027,1,4),Rabu!$A$7:$A$206,"&lt;="&amp;DATE(2027,1,10))+SUMIFS(Kamis!$H$7:$H$186,Kamis!$C$7:$C$186,$B41,Kamis!$A$7:$A$186,"&gt;="&amp;DATE(2027,1,4),Kamis!$A$7:$A$186,"&lt;="&amp;DATE(2027,1,10))+SUMIFS(Jumat!$H$7:$H$186,Jumat!$C$7:$C$186,$B41,Jumat!$A$7:$A$186,"&gt;="&amp;DATE(2027,1,4),Jumat!$A$7:$A$186,"&lt;="&amp;DATE(2027,1,10))</f>
        <v>0</v>
      </c>
      <c r="AD41" s="45">
        <f>SUMIFS(Senin!$H$7:$H$146,Senin!$C$7:$C$146,$B41,Senin!$A$7:$A$146,"&gt;="&amp;DATE(2027,1,11),Senin!$A$7:$A$146,"&lt;="&amp;DATE(2027,1,17))+SUMIFS(Selasa!$H$7:$H$166,Selasa!$C$7:$C$166,$B41,Selasa!$A$7:$A$166,"&gt;="&amp;DATE(2027,1,11),Selasa!$A$7:$A$166,"&lt;="&amp;DATE(2027,1,17))+SUMIFS(Rabu!$H$7:$H$206,Rabu!$C$7:$C$206,$B41,Rabu!$A$7:$A$206,"&gt;="&amp;DATE(2027,1,11),Rabu!$A$7:$A$206,"&lt;="&amp;DATE(2027,1,17))+SUMIFS(Kamis!$H$7:$H$186,Kamis!$C$7:$C$186,$B41,Kamis!$A$7:$A$186,"&gt;="&amp;DATE(2027,1,11),Kamis!$A$7:$A$186,"&lt;="&amp;DATE(2027,1,17))+SUMIFS(Jumat!$H$7:$H$186,Jumat!$C$7:$C$186,$B41,Jumat!$A$7:$A$186,"&gt;="&amp;DATE(2027,1,11),Jumat!$A$7:$A$186,"&lt;="&amp;DATE(2027,1,17))</f>
        <v>0</v>
      </c>
    </row>
    <row r="42" ht="15.75" customHeight="1">
      <c r="A42" s="62">
        <v>39.0</v>
      </c>
      <c r="B42" s="26" t="s">
        <v>45</v>
      </c>
      <c r="C42" s="41">
        <f>COUNTIFS(Senin!$C$7:$C$146,$B42,Senin!$G$7:$G$146,"Ya",Senin!$E$7:$E$146,"&lt;&gt;")+COUNTIFS(Selasa!$C$7:$C$166,$B42,Selasa!$G$7:$G$166,"Ya",Selasa!$E$7:$E$166,"&lt;&gt;")+COUNTIFS(Rabu!$C$7:$C$206,$B42,Rabu!$G$7:$G$206,"Ya",Rabu!$E$7:$E$206,"&lt;&gt;")+COUNTIFS(Kamis!$C$7:$C$186,$B42,Kamis!$G$7:$G$186,"Ya",Kamis!$E$7:$E$186,"&lt;&gt;")+COUNTIFS(Jumat!$C$7:$C$186,$B42,Jumat!$G$7:$G$186,"Ya",Jumat!$E$7:$E$186,"&lt;&gt;")</f>
        <v>0</v>
      </c>
      <c r="D42" s="41">
        <f>COUNTIFS(Senin!$C$7:$C$146,$B42,Senin!$G$7:$G$146,"Ya",Senin!$E$7:$E$146,"")+COUNTIFS(Selasa!$C$7:$C$166,$B42,Selasa!$G$7:$G$166,"Ya",Selasa!$E$7:$E$166,"")+COUNTIFS(Rabu!$C$7:$C$206,$B42,Rabu!$G$7:$G$206,"Ya",Rabu!$E$7:$E$206,"")+COUNTIFS(Kamis!$C$7:$C$186,$B42,Kamis!$G$7:$G$186,"Ya",Kamis!$E$7:$E$186,"")+COUNTIFS(Jumat!$C$7:$C$186,$B42,Jumat!$G$7:$G$186,"Ya",Jumat!$E$7:$E$186,"")</f>
        <v>0</v>
      </c>
      <c r="E42" s="45">
        <f>SUMIFS(Senin!$H$7:$H$146,Senin!$C$7:$C$146,$B42,Senin!$A$7:$A$146,"&gt;="&amp;DATE(2026,8,1),Senin!$A$7:$A$146,"&lt;="&amp;DATE(2026,12,31))+SUMIFS(Selasa!$H$7:$H$166,Selasa!$C$7:$C$166,$B42,Selasa!$A$7:$A$166,"&gt;="&amp;DATE(2026,8,1),Selasa!$A$7:$A$166,"&lt;="&amp;DATE(2026,12,31))+SUMIFS(Rabu!$H$7:$H$206,Rabu!$C$7:$C$206,$B42,Rabu!$A$7:$A$206,"&gt;="&amp;DATE(2026,8,1),Rabu!$A$7:$A$206,"&lt;="&amp;DATE(2026,12,31))+SUMIFS(Kamis!$H$7:$H$186,Kamis!$C$7:$C$186,$B42,Kamis!$A$7:$A$186,"&gt;="&amp;DATE(2026,8,1),Kamis!$A$7:$A$186,"&lt;="&amp;DATE(2026,12,31))+SUMIFS(Jumat!$H$7:$H$186,Jumat!$C$7:$C$186,$B42,Jumat!$A$7:$A$186,"&gt;="&amp;DATE(2026,8,1),Jumat!$A$7:$A$186,"&lt;="&amp;DATE(2026,12,31))</f>
        <v>0</v>
      </c>
      <c r="F42" s="45">
        <f>SUMIFS(Senin!$H$7:$H$146,Senin!$C$7:$C$146,$B42,Senin!$A$7:$A$146,"&gt;="&amp;DATE(2026,8,1),Senin!$A$7:$A$146,"&lt;="&amp;DATE(2026,8,31))+SUMIFS(Selasa!$H$7:$H$166,Selasa!$C$7:$C$166,$B42,Selasa!$A$7:$A$166,"&gt;="&amp;DATE(2026,8,1),Selasa!$A$7:$A$166,"&lt;="&amp;DATE(2026,8,31))+SUMIFS(Rabu!$H$7:$H$206,Rabu!$C$7:$C$206,$B42,Rabu!$A$7:$A$206,"&gt;="&amp;DATE(2026,8,1),Rabu!$A$7:$A$206,"&lt;="&amp;DATE(2026,8,31))+SUMIFS(Kamis!$H$7:$H$186,Kamis!$C$7:$C$186,$B42,Kamis!$A$7:$A$186,"&gt;="&amp;DATE(2026,8,1),Kamis!$A$7:$A$186,"&lt;="&amp;DATE(2026,8,31))+SUMIFS(Jumat!$H$7:$H$186,Jumat!$C$7:$C$186,$B42,Jumat!$A$7:$A$186,"&gt;="&amp;DATE(2026,8,1),Jumat!$A$7:$A$186,"&lt;="&amp;DATE(2026,8,31))</f>
        <v>0</v>
      </c>
      <c r="G42" s="45">
        <f>SUMIFS(Senin!$H$7:$H$146,Senin!$C$7:$C$146,$B42,Senin!$A$7:$A$146,"&gt;="&amp;DATE(2026,9,1),Senin!$A$7:$A$146,"&lt;="&amp;DATE(2026,9,30))+SUMIFS(Selasa!$H$7:$H$166,Selasa!$C$7:$C$166,$B42,Selasa!$A$7:$A$166,"&gt;="&amp;DATE(2026,9,1),Selasa!$A$7:$A$166,"&lt;="&amp;DATE(2026,9,30))+SUMIFS(Rabu!$H$7:$H$206,Rabu!$C$7:$C$206,$B42,Rabu!$A$7:$A$206,"&gt;="&amp;DATE(2026,9,1),Rabu!$A$7:$A$206,"&lt;="&amp;DATE(2026,9,30))+SUMIFS(Kamis!$H$7:$H$186,Kamis!$C$7:$C$186,$B42,Kamis!$A$7:$A$186,"&gt;="&amp;DATE(2026,9,1),Kamis!$A$7:$A$186,"&lt;="&amp;DATE(2026,9,30))+SUMIFS(Jumat!$H$7:$H$186,Jumat!$C$7:$C$186,$B42,Jumat!$A$7:$A$186,"&gt;="&amp;DATE(2026,9,1),Jumat!$A$7:$A$186,"&lt;="&amp;DATE(2026,9,30))</f>
        <v>0</v>
      </c>
      <c r="H42" s="45">
        <f>SUMIFS(Senin!$H$7:$H$146,Senin!$C$7:$C$146,$B42,Senin!$A$7:$A$146,"&gt;="&amp;DATE(2026,10,1),Senin!$A$7:$A$146,"&lt;="&amp;DATE(2026,10,31))+SUMIFS(Selasa!$H$7:$H$166,Selasa!$C$7:$C$166,$B42,Selasa!$A$7:$A$166,"&gt;="&amp;DATE(2026,10,1),Selasa!$A$7:$A$166,"&lt;="&amp;DATE(2026,10,31))+SUMIFS(Rabu!$H$7:$H$206,Rabu!$C$7:$C$206,$B42,Rabu!$A$7:$A$206,"&gt;="&amp;DATE(2026,10,1),Rabu!$A$7:$A$206,"&lt;="&amp;DATE(2026,10,31))+SUMIFS(Kamis!$H$7:$H$186,Kamis!$C$7:$C$186,$B42,Kamis!$A$7:$A$186,"&gt;="&amp;DATE(2026,10,1),Kamis!$A$7:$A$186,"&lt;="&amp;DATE(2026,10,31))+SUMIFS(Jumat!$H$7:$H$186,Jumat!$C$7:$C$186,$B42,Jumat!$A$7:$A$186,"&gt;="&amp;DATE(2026,10,1),Jumat!$A$7:$A$186,"&lt;="&amp;DATE(2026,10,31))</f>
        <v>0</v>
      </c>
      <c r="I42" s="45">
        <f>SUMIFS(Senin!$H$7:$H$146,Senin!$C$7:$C$146,$B42,Senin!$A$7:$A$146,"&gt;="&amp;DATE(2026,11,1),Senin!$A$7:$A$146,"&lt;="&amp;DATE(2026,11,30))+SUMIFS(Selasa!$H$7:$H$166,Selasa!$C$7:$C$166,$B42,Selasa!$A$7:$A$166,"&gt;="&amp;DATE(2026,11,1),Selasa!$A$7:$A$166,"&lt;="&amp;DATE(2026,11,30))+SUMIFS(Rabu!$H$7:$H$206,Rabu!$C$7:$C$206,$B42,Rabu!$A$7:$A$206,"&gt;="&amp;DATE(2026,11,1),Rabu!$A$7:$A$206,"&lt;="&amp;DATE(2026,11,30))+SUMIFS(Kamis!$H$7:$H$186,Kamis!$C$7:$C$186,$B42,Kamis!$A$7:$A$186,"&gt;="&amp;DATE(2026,11,1),Kamis!$A$7:$A$186,"&lt;="&amp;DATE(2026,11,30))+SUMIFS(Jumat!$H$7:$H$186,Jumat!$C$7:$C$186,$B42,Jumat!$A$7:$A$186,"&gt;="&amp;DATE(2026,11,1),Jumat!$A$7:$A$186,"&lt;="&amp;DATE(2026,11,30))</f>
        <v>0</v>
      </c>
      <c r="J42" s="45">
        <f>SUMIFS(Senin!$H$7:$H$146,Senin!$C$7:$C$146,$B42,Senin!$A$7:$A$146,"&gt;="&amp;DATE(2026,12,1),Senin!$A$7:$A$146,"&lt;="&amp;DATE(2026,12,31))+SUMIFS(Selasa!$H$7:$H$166,Selasa!$C$7:$C$166,$B42,Selasa!$A$7:$A$166,"&gt;="&amp;DATE(2026,12,1),Selasa!$A$7:$A$166,"&lt;="&amp;DATE(2026,12,31))+SUMIFS(Rabu!$H$7:$H$206,Rabu!$C$7:$C$206,$B42,Rabu!$A$7:$A$206,"&gt;="&amp;DATE(2026,12,1),Rabu!$A$7:$A$206,"&lt;="&amp;DATE(2026,12,31))+SUMIFS(Kamis!$H$7:$H$186,Kamis!$C$7:$C$186,$B42,Kamis!$A$7:$A$186,"&gt;="&amp;DATE(2026,12,1),Kamis!$A$7:$A$186,"&lt;="&amp;DATE(2026,12,31))+SUMIFS(Jumat!$H$7:$H$186,Jumat!$C$7:$C$186,$B42,Jumat!$A$7:$A$186,"&gt;="&amp;DATE(2026,12,1),Jumat!$A$7:$A$186,"&lt;="&amp;DATE(2026,12,31))</f>
        <v>0</v>
      </c>
      <c r="K42" s="45">
        <f>SUMIFS(Senin!$H$7:$H$146,Senin!$C$7:$C$146,$B42,Senin!$A$7:$A$146,"&gt;="&amp;DATE(2026,8,31),Senin!$A$7:$A$146,"&lt;="&amp;DATE(2026,9,6))+SUMIFS(Selasa!$H$7:$H$166,Selasa!$C$7:$C$166,$B42,Selasa!$A$7:$A$166,"&gt;="&amp;DATE(2026,8,31),Selasa!$A$7:$A$166,"&lt;="&amp;DATE(2026,9,6))+SUMIFS(Rabu!$H$7:$H$206,Rabu!$C$7:$C$206,$B42,Rabu!$A$7:$A$206,"&gt;="&amp;DATE(2026,8,31),Rabu!$A$7:$A$206,"&lt;="&amp;DATE(2026,9,6))+SUMIFS(Kamis!$H$7:$H$186,Kamis!$C$7:$C$186,$B42,Kamis!$A$7:$A$186,"&gt;="&amp;DATE(2026,8,31),Kamis!$A$7:$A$186,"&lt;="&amp;DATE(2026,9,6))+SUMIFS(Jumat!$H$7:$H$186,Jumat!$C$7:$C$186,$B42,Jumat!$A$7:$A$186,"&gt;="&amp;DATE(2026,8,31),Jumat!$A$7:$A$186,"&lt;="&amp;DATE(2026,9,6))</f>
        <v>0</v>
      </c>
      <c r="L42" s="45">
        <f>SUMIFS(Senin!$H$7:$H$146,Senin!$C$7:$C$146,$B42,Senin!$A$7:$A$146,"&gt;="&amp;DATE(2026,9,7),Senin!$A$7:$A$146,"&lt;="&amp;DATE(2026,9,13))+SUMIFS(Selasa!$H$7:$H$166,Selasa!$C$7:$C$166,$B42,Selasa!$A$7:$A$166,"&gt;="&amp;DATE(2026,9,7),Selasa!$A$7:$A$166,"&lt;="&amp;DATE(2026,9,13))+SUMIFS(Rabu!$H$7:$H$206,Rabu!$C$7:$C$206,$B42,Rabu!$A$7:$A$206,"&gt;="&amp;DATE(2026,9,7),Rabu!$A$7:$A$206,"&lt;="&amp;DATE(2026,9,13))+SUMIFS(Kamis!$H$7:$H$186,Kamis!$C$7:$C$186,$B42,Kamis!$A$7:$A$186,"&gt;="&amp;DATE(2026,9,7),Kamis!$A$7:$A$186,"&lt;="&amp;DATE(2026,9,13))+SUMIFS(Jumat!$H$7:$H$186,Jumat!$C$7:$C$186,$B42,Jumat!$A$7:$A$186,"&gt;="&amp;DATE(2026,9,7),Jumat!$A$7:$A$186,"&lt;="&amp;DATE(2026,9,13))</f>
        <v>0</v>
      </c>
      <c r="M42" s="45">
        <f>SUMIFS(Senin!$H$7:$H$146,Senin!$C$7:$C$146,$B42,Senin!$A$7:$A$146,"&gt;="&amp;DATE(2026,9,14),Senin!$A$7:$A$146,"&lt;="&amp;DATE(2026,9,20))+SUMIFS(Selasa!$H$7:$H$166,Selasa!$C$7:$C$166,$B42,Selasa!$A$7:$A$166,"&gt;="&amp;DATE(2026,9,14),Selasa!$A$7:$A$166,"&lt;="&amp;DATE(2026,9,20))+SUMIFS(Rabu!$H$7:$H$206,Rabu!$C$7:$C$206,$B42,Rabu!$A$7:$A$206,"&gt;="&amp;DATE(2026,9,14),Rabu!$A$7:$A$206,"&lt;="&amp;DATE(2026,9,20))+SUMIFS(Kamis!$H$7:$H$186,Kamis!$C$7:$C$186,$B42,Kamis!$A$7:$A$186,"&gt;="&amp;DATE(2026,9,14),Kamis!$A$7:$A$186,"&lt;="&amp;DATE(2026,9,20))+SUMIFS(Jumat!$H$7:$H$186,Jumat!$C$7:$C$186,$B42,Jumat!$A$7:$A$186,"&gt;="&amp;DATE(2026,9,14),Jumat!$A$7:$A$186,"&lt;="&amp;DATE(2026,9,20))</f>
        <v>0</v>
      </c>
      <c r="N42" s="45">
        <f>SUMIFS(Senin!$H$7:$H$146,Senin!$C$7:$C$146,$B42,Senin!$A$7:$A$146,"&gt;="&amp;DATE(2026,9,21),Senin!$A$7:$A$146,"&lt;="&amp;DATE(2026,9,27))+SUMIFS(Selasa!$H$7:$H$166,Selasa!$C$7:$C$166,$B42,Selasa!$A$7:$A$166,"&gt;="&amp;DATE(2026,9,21),Selasa!$A$7:$A$166,"&lt;="&amp;DATE(2026,9,27))+SUMIFS(Rabu!$H$7:$H$206,Rabu!$C$7:$C$206,$B42,Rabu!$A$7:$A$206,"&gt;="&amp;DATE(2026,9,21),Rabu!$A$7:$A$206,"&lt;="&amp;DATE(2026,9,27))+SUMIFS(Kamis!$H$7:$H$186,Kamis!$C$7:$C$186,$B42,Kamis!$A$7:$A$186,"&gt;="&amp;DATE(2026,9,21),Kamis!$A$7:$A$186,"&lt;="&amp;DATE(2026,9,27))+SUMIFS(Jumat!$H$7:$H$186,Jumat!$C$7:$C$186,$B42,Jumat!$A$7:$A$186,"&gt;="&amp;DATE(2026,9,21),Jumat!$A$7:$A$186,"&lt;="&amp;DATE(2026,9,27))</f>
        <v>0</v>
      </c>
      <c r="O42" s="45">
        <f>SUMIFS(Senin!$H$7:$H$146,Senin!$C$7:$C$146,$B42,Senin!$A$7:$A$146,"&gt;="&amp;DATE(2026,9,28),Senin!$A$7:$A$146,"&lt;="&amp;DATE(2026,10,4))+SUMIFS(Selasa!$H$7:$H$166,Selasa!$C$7:$C$166,$B42,Selasa!$A$7:$A$166,"&gt;="&amp;DATE(2026,9,28),Selasa!$A$7:$A$166,"&lt;="&amp;DATE(2026,10,4))+SUMIFS(Rabu!$H$7:$H$206,Rabu!$C$7:$C$206,$B42,Rabu!$A$7:$A$206,"&gt;="&amp;DATE(2026,9,28),Rabu!$A$7:$A$206,"&lt;="&amp;DATE(2026,10,4))+SUMIFS(Kamis!$H$7:$H$186,Kamis!$C$7:$C$186,$B42,Kamis!$A$7:$A$186,"&gt;="&amp;DATE(2026,9,28),Kamis!$A$7:$A$186,"&lt;="&amp;DATE(2026,10,4))+SUMIFS(Jumat!$H$7:$H$186,Jumat!$C$7:$C$186,$B42,Jumat!$A$7:$A$186,"&gt;="&amp;DATE(2026,9,28),Jumat!$A$7:$A$186,"&lt;="&amp;DATE(2026,10,4))</f>
        <v>0</v>
      </c>
      <c r="P42" s="45">
        <f>SUMIFS(Senin!$H$7:$H$146,Senin!$C$7:$C$146,$B42,Senin!$A$7:$A$146,"&gt;="&amp;DATE(2026,10,5),Senin!$A$7:$A$146,"&lt;="&amp;DATE(2026,10,11))+SUMIFS(Selasa!$H$7:$H$166,Selasa!$C$7:$C$166,$B42,Selasa!$A$7:$A$166,"&gt;="&amp;DATE(2026,10,5),Selasa!$A$7:$A$166,"&lt;="&amp;DATE(2026,10,11))+SUMIFS(Rabu!$H$7:$H$206,Rabu!$C$7:$C$206,$B42,Rabu!$A$7:$A$206,"&gt;="&amp;DATE(2026,10,5),Rabu!$A$7:$A$206,"&lt;="&amp;DATE(2026,10,11))+SUMIFS(Kamis!$H$7:$H$186,Kamis!$C$7:$C$186,$B42,Kamis!$A$7:$A$186,"&gt;="&amp;DATE(2026,10,5),Kamis!$A$7:$A$186,"&lt;="&amp;DATE(2026,10,11))+SUMIFS(Jumat!$H$7:$H$186,Jumat!$C$7:$C$186,$B42,Jumat!$A$7:$A$186,"&gt;="&amp;DATE(2026,10,5),Jumat!$A$7:$A$186,"&lt;="&amp;DATE(2026,10,11))</f>
        <v>0</v>
      </c>
      <c r="Q42" s="45">
        <f>SUMIFS(Senin!$H$7:$H$146,Senin!$C$7:$C$146,$B42,Senin!$A$7:$A$146,"&gt;="&amp;DATE(2026,10,12),Senin!$A$7:$A$146,"&lt;="&amp;DATE(2026,10,18))+SUMIFS(Selasa!$H$7:$H$166,Selasa!$C$7:$C$166,$B42,Selasa!$A$7:$A$166,"&gt;="&amp;DATE(2026,10,12),Selasa!$A$7:$A$166,"&lt;="&amp;DATE(2026,10,18))+SUMIFS(Rabu!$H$7:$H$206,Rabu!$C$7:$C$206,$B42,Rabu!$A$7:$A$206,"&gt;="&amp;DATE(2026,10,12),Rabu!$A$7:$A$206,"&lt;="&amp;DATE(2026,10,18))+SUMIFS(Kamis!$H$7:$H$186,Kamis!$C$7:$C$186,$B42,Kamis!$A$7:$A$186,"&gt;="&amp;DATE(2026,10,12),Kamis!$A$7:$A$186,"&lt;="&amp;DATE(2026,10,18))+SUMIFS(Jumat!$H$7:$H$186,Jumat!$C$7:$C$186,$B42,Jumat!$A$7:$A$186,"&gt;="&amp;DATE(2026,10,12),Jumat!$A$7:$A$186,"&lt;="&amp;DATE(2026,10,18))</f>
        <v>0</v>
      </c>
      <c r="R42" s="45">
        <f>SUMIFS(Senin!$H$7:$H$146,Senin!$C$7:$C$146,$B42,Senin!$A$7:$A$146,"&gt;="&amp;DATE(2026,10,19),Senin!$A$7:$A$146,"&lt;="&amp;DATE(2026,10,25))+SUMIFS(Selasa!$H$7:$H$166,Selasa!$C$7:$C$166,$B42,Selasa!$A$7:$A$166,"&gt;="&amp;DATE(2026,10,19),Selasa!$A$7:$A$166,"&lt;="&amp;DATE(2026,10,25))+SUMIFS(Rabu!$H$7:$H$206,Rabu!$C$7:$C$206,$B42,Rabu!$A$7:$A$206,"&gt;="&amp;DATE(2026,10,19),Rabu!$A$7:$A$206,"&lt;="&amp;DATE(2026,10,25))+SUMIFS(Kamis!$H$7:$H$186,Kamis!$C$7:$C$186,$B42,Kamis!$A$7:$A$186,"&gt;="&amp;DATE(2026,10,19),Kamis!$A$7:$A$186,"&lt;="&amp;DATE(2026,10,25))+SUMIFS(Jumat!$H$7:$H$186,Jumat!$C$7:$C$186,$B42,Jumat!$A$7:$A$186,"&gt;="&amp;DATE(2026,10,19),Jumat!$A$7:$A$186,"&lt;="&amp;DATE(2026,10,25))</f>
        <v>0</v>
      </c>
      <c r="S42" s="45">
        <f>SUMIFS(Senin!$H$7:$H$146,Senin!$C$7:$C$146,$B42,Senin!$A$7:$A$146,"&gt;="&amp;DATE(2026,10,26),Senin!$A$7:$A$146,"&lt;="&amp;DATE(2026,11,1))+SUMIFS(Selasa!$H$7:$H$166,Selasa!$C$7:$C$166,$B42,Selasa!$A$7:$A$166,"&gt;="&amp;DATE(2026,10,26),Selasa!$A$7:$A$166,"&lt;="&amp;DATE(2026,11,1))+SUMIFS(Rabu!$H$7:$H$206,Rabu!$C$7:$C$206,$B42,Rabu!$A$7:$A$206,"&gt;="&amp;DATE(2026,10,26),Rabu!$A$7:$A$206,"&lt;="&amp;DATE(2026,11,1))+SUMIFS(Kamis!$H$7:$H$186,Kamis!$C$7:$C$186,$B42,Kamis!$A$7:$A$186,"&gt;="&amp;DATE(2026,10,26),Kamis!$A$7:$A$186,"&lt;="&amp;DATE(2026,11,1))+SUMIFS(Jumat!$H$7:$H$186,Jumat!$C$7:$C$186,$B42,Jumat!$A$7:$A$186,"&gt;="&amp;DATE(2026,10,26),Jumat!$A$7:$A$186,"&lt;="&amp;DATE(2026,11,1))</f>
        <v>0</v>
      </c>
      <c r="T42" s="45">
        <f>SUMIFS(Senin!$H$7:$H$146,Senin!$C$7:$C$146,$B42,Senin!$A$7:$A$146,"&gt;="&amp;DATE(2026,11,2),Senin!$A$7:$A$146,"&lt;="&amp;DATE(2026,11,8))+SUMIFS(Selasa!$H$7:$H$166,Selasa!$C$7:$C$166,$B42,Selasa!$A$7:$A$166,"&gt;="&amp;DATE(2026,11,2),Selasa!$A$7:$A$166,"&lt;="&amp;DATE(2026,11,8))+SUMIFS(Rabu!$H$7:$H$206,Rabu!$C$7:$C$206,$B42,Rabu!$A$7:$A$206,"&gt;="&amp;DATE(2026,11,2),Rabu!$A$7:$A$206,"&lt;="&amp;DATE(2026,11,8))+SUMIFS(Kamis!$H$7:$H$186,Kamis!$C$7:$C$186,$B42,Kamis!$A$7:$A$186,"&gt;="&amp;DATE(2026,11,2),Kamis!$A$7:$A$186,"&lt;="&amp;DATE(2026,11,8))+SUMIFS(Jumat!$H$7:$H$186,Jumat!$C$7:$C$186,$B42,Jumat!$A$7:$A$186,"&gt;="&amp;DATE(2026,11,2),Jumat!$A$7:$A$186,"&lt;="&amp;DATE(2026,11,8))</f>
        <v>0</v>
      </c>
      <c r="U42" s="45">
        <f>SUMIFS(Senin!$H$7:$H$146,Senin!$C$7:$C$146,$B42,Senin!$A$7:$A$146,"&gt;="&amp;DATE(2026,11,9),Senin!$A$7:$A$146,"&lt;="&amp;DATE(2026,11,15))+SUMIFS(Selasa!$H$7:$H$166,Selasa!$C$7:$C$166,$B42,Selasa!$A$7:$A$166,"&gt;="&amp;DATE(2026,11,9),Selasa!$A$7:$A$166,"&lt;="&amp;DATE(2026,11,15))+SUMIFS(Rabu!$H$7:$H$206,Rabu!$C$7:$C$206,$B42,Rabu!$A$7:$A$206,"&gt;="&amp;DATE(2026,11,9),Rabu!$A$7:$A$206,"&lt;="&amp;DATE(2026,11,15))+SUMIFS(Kamis!$H$7:$H$186,Kamis!$C$7:$C$186,$B42,Kamis!$A$7:$A$186,"&gt;="&amp;DATE(2026,11,9),Kamis!$A$7:$A$186,"&lt;="&amp;DATE(2026,11,15))+SUMIFS(Jumat!$H$7:$H$186,Jumat!$C$7:$C$186,$B42,Jumat!$A$7:$A$186,"&gt;="&amp;DATE(2026,11,9),Jumat!$A$7:$A$186,"&lt;="&amp;DATE(2026,11,15))</f>
        <v>0</v>
      </c>
      <c r="V42" s="45">
        <f>SUMIFS(Senin!$H$7:$H$146,Senin!$C$7:$C$146,$B42,Senin!$A$7:$A$146,"&gt;="&amp;DATE(2026,11,16),Senin!$A$7:$A$146,"&lt;="&amp;DATE(2026,11,22))+SUMIFS(Selasa!$H$7:$H$166,Selasa!$C$7:$C$166,$B42,Selasa!$A$7:$A$166,"&gt;="&amp;DATE(2026,11,16),Selasa!$A$7:$A$166,"&lt;="&amp;DATE(2026,11,22))+SUMIFS(Rabu!$H$7:$H$206,Rabu!$C$7:$C$206,$B42,Rabu!$A$7:$A$206,"&gt;="&amp;DATE(2026,11,16),Rabu!$A$7:$A$206,"&lt;="&amp;DATE(2026,11,22))+SUMIFS(Kamis!$H$7:$H$186,Kamis!$C$7:$C$186,$B42,Kamis!$A$7:$A$186,"&gt;="&amp;DATE(2026,11,16),Kamis!$A$7:$A$186,"&lt;="&amp;DATE(2026,11,22))+SUMIFS(Jumat!$H$7:$H$186,Jumat!$C$7:$C$186,$B42,Jumat!$A$7:$A$186,"&gt;="&amp;DATE(2026,11,16),Jumat!$A$7:$A$186,"&lt;="&amp;DATE(2026,11,22))</f>
        <v>0</v>
      </c>
      <c r="W42" s="45">
        <f>SUMIFS(Senin!$H$7:$H$146,Senin!$C$7:$C$146,$B42,Senin!$A$7:$A$146,"&gt;="&amp;DATE(2026,11,23),Senin!$A$7:$A$146,"&lt;="&amp;DATE(2026,11,29))+SUMIFS(Selasa!$H$7:$H$166,Selasa!$C$7:$C$166,$B42,Selasa!$A$7:$A$166,"&gt;="&amp;DATE(2026,11,23),Selasa!$A$7:$A$166,"&lt;="&amp;DATE(2026,11,29))+SUMIFS(Rabu!$H$7:$H$206,Rabu!$C$7:$C$206,$B42,Rabu!$A$7:$A$206,"&gt;="&amp;DATE(2026,11,23),Rabu!$A$7:$A$206,"&lt;="&amp;DATE(2026,11,29))+SUMIFS(Kamis!$H$7:$H$186,Kamis!$C$7:$C$186,$B42,Kamis!$A$7:$A$186,"&gt;="&amp;DATE(2026,11,23),Kamis!$A$7:$A$186,"&lt;="&amp;DATE(2026,11,29))+SUMIFS(Jumat!$H$7:$H$186,Jumat!$C$7:$C$186,$B42,Jumat!$A$7:$A$186,"&gt;="&amp;DATE(2026,11,23),Jumat!$A$7:$A$186,"&lt;="&amp;DATE(2026,11,29))</f>
        <v>0</v>
      </c>
      <c r="X42" s="45">
        <f>SUMIFS(Senin!$H$7:$H$146,Senin!$C$7:$C$146,$B42,Senin!$A$7:$A$146,"&gt;="&amp;DATE(2026,11,30),Senin!$A$7:$A$146,"&lt;="&amp;DATE(2026,12,6))+SUMIFS(Selasa!$H$7:$H$166,Selasa!$C$7:$C$166,$B42,Selasa!$A$7:$A$166,"&gt;="&amp;DATE(2026,11,30),Selasa!$A$7:$A$166,"&lt;="&amp;DATE(2026,12,6))+SUMIFS(Rabu!$H$7:$H$206,Rabu!$C$7:$C$206,$B42,Rabu!$A$7:$A$206,"&gt;="&amp;DATE(2026,11,30),Rabu!$A$7:$A$206,"&lt;="&amp;DATE(2026,12,6))+SUMIFS(Kamis!$H$7:$H$186,Kamis!$C$7:$C$186,$B42,Kamis!$A$7:$A$186,"&gt;="&amp;DATE(2026,11,30),Kamis!$A$7:$A$186,"&lt;="&amp;DATE(2026,12,6))+SUMIFS(Jumat!$H$7:$H$186,Jumat!$C$7:$C$186,$B42,Jumat!$A$7:$A$186,"&gt;="&amp;DATE(2026,11,30),Jumat!$A$7:$A$186,"&lt;="&amp;DATE(2026,12,6))</f>
        <v>0</v>
      </c>
      <c r="Y42" s="45">
        <f>SUMIFS(Senin!$H$7:$H$146,Senin!$C$7:$C$146,$B42,Senin!$A$7:$A$146,"&gt;="&amp;DATE(2026,12,7),Senin!$A$7:$A$146,"&lt;="&amp;DATE(2026,12,13))+SUMIFS(Selasa!$H$7:$H$166,Selasa!$C$7:$C$166,$B42,Selasa!$A$7:$A$166,"&gt;="&amp;DATE(2026,12,7),Selasa!$A$7:$A$166,"&lt;="&amp;DATE(2026,12,13))+SUMIFS(Rabu!$H$7:$H$206,Rabu!$C$7:$C$206,$B42,Rabu!$A$7:$A$206,"&gt;="&amp;DATE(2026,12,7),Rabu!$A$7:$A$206,"&lt;="&amp;DATE(2026,12,13))+SUMIFS(Kamis!$H$7:$H$186,Kamis!$C$7:$C$186,$B42,Kamis!$A$7:$A$186,"&gt;="&amp;DATE(2026,12,7),Kamis!$A$7:$A$186,"&lt;="&amp;DATE(2026,12,13))+SUMIFS(Jumat!$H$7:$H$186,Jumat!$C$7:$C$186,$B42,Jumat!$A$7:$A$186,"&gt;="&amp;DATE(2026,12,7),Jumat!$A$7:$A$186,"&lt;="&amp;DATE(2026,12,13))</f>
        <v>0</v>
      </c>
      <c r="Z42" s="45">
        <f>SUMIFS(Senin!$H$7:$H$146,Senin!$C$7:$C$146,$B42,Senin!$A$7:$A$146,"&gt;="&amp;DATE(2026,12,14),Senin!$A$7:$A$146,"&lt;="&amp;DATE(2026,12,20))+SUMIFS(Selasa!$H$7:$H$166,Selasa!$C$7:$C$166,$B42,Selasa!$A$7:$A$166,"&gt;="&amp;DATE(2026,12,14),Selasa!$A$7:$A$166,"&lt;="&amp;DATE(2026,12,20))+SUMIFS(Rabu!$H$7:$H$206,Rabu!$C$7:$C$206,$B42,Rabu!$A$7:$A$206,"&gt;="&amp;DATE(2026,12,14),Rabu!$A$7:$A$206,"&lt;="&amp;DATE(2026,12,20))+SUMIFS(Kamis!$H$7:$H$186,Kamis!$C$7:$C$186,$B42,Kamis!$A$7:$A$186,"&gt;="&amp;DATE(2026,12,14),Kamis!$A$7:$A$186,"&lt;="&amp;DATE(2026,12,20))+SUMIFS(Jumat!$H$7:$H$186,Jumat!$C$7:$C$186,$B42,Jumat!$A$7:$A$186,"&gt;="&amp;DATE(2026,12,14),Jumat!$A$7:$A$186,"&lt;="&amp;DATE(2026,12,20))</f>
        <v>0</v>
      </c>
      <c r="AA42" s="45">
        <f>SUMIFS(Senin!$H$7:$H$146,Senin!$C$7:$C$146,$B42,Senin!$A$7:$A$146,"&gt;="&amp;DATE(2026,12,21),Senin!$A$7:$A$146,"&lt;="&amp;DATE(2026,12,27))+SUMIFS(Selasa!$H$7:$H$166,Selasa!$C$7:$C$166,$B42,Selasa!$A$7:$A$166,"&gt;="&amp;DATE(2026,12,21),Selasa!$A$7:$A$166,"&lt;="&amp;DATE(2026,12,27))+SUMIFS(Rabu!$H$7:$H$206,Rabu!$C$7:$C$206,$B42,Rabu!$A$7:$A$206,"&gt;="&amp;DATE(2026,12,21),Rabu!$A$7:$A$206,"&lt;="&amp;DATE(2026,12,27))+SUMIFS(Kamis!$H$7:$H$186,Kamis!$C$7:$C$186,$B42,Kamis!$A$7:$A$186,"&gt;="&amp;DATE(2026,12,21),Kamis!$A$7:$A$186,"&lt;="&amp;DATE(2026,12,27))+SUMIFS(Jumat!$H$7:$H$186,Jumat!$C$7:$C$186,$B42,Jumat!$A$7:$A$186,"&gt;="&amp;DATE(2026,12,21),Jumat!$A$7:$A$186,"&lt;="&amp;DATE(2026,12,27))</f>
        <v>0</v>
      </c>
      <c r="AB42" s="45">
        <f>SUMIFS(Senin!$H$7:$H$146,Senin!$C$7:$C$146,$B42,Senin!$A$7:$A$146,"&gt;="&amp;DATE(2026,12,28),Senin!$A$7:$A$146,"&lt;="&amp;DATE(2027,1,3))+SUMIFS(Selasa!$H$7:$H$166,Selasa!$C$7:$C$166,$B42,Selasa!$A$7:$A$166,"&gt;="&amp;DATE(2026,12,28),Selasa!$A$7:$A$166,"&lt;="&amp;DATE(2027,1,3))+SUMIFS(Rabu!$H$7:$H$206,Rabu!$C$7:$C$206,$B42,Rabu!$A$7:$A$206,"&gt;="&amp;DATE(2026,12,28),Rabu!$A$7:$A$206,"&lt;="&amp;DATE(2027,1,3))+SUMIFS(Kamis!$H$7:$H$186,Kamis!$C$7:$C$186,$B42,Kamis!$A$7:$A$186,"&gt;="&amp;DATE(2026,12,28),Kamis!$A$7:$A$186,"&lt;="&amp;DATE(2027,1,3))+SUMIFS(Jumat!$H$7:$H$186,Jumat!$C$7:$C$186,$B42,Jumat!$A$7:$A$186,"&gt;="&amp;DATE(2026,12,28),Jumat!$A$7:$A$186,"&lt;="&amp;DATE(2027,1,3))</f>
        <v>0</v>
      </c>
      <c r="AC42" s="45">
        <f>SUMIFS(Senin!$H$7:$H$146,Senin!$C$7:$C$146,$B42,Senin!$A$7:$A$146,"&gt;="&amp;DATE(2027,1,4),Senin!$A$7:$A$146,"&lt;="&amp;DATE(2027,1,10))+SUMIFS(Selasa!$H$7:$H$166,Selasa!$C$7:$C$166,$B42,Selasa!$A$7:$A$166,"&gt;="&amp;DATE(2027,1,4),Selasa!$A$7:$A$166,"&lt;="&amp;DATE(2027,1,10))+SUMIFS(Rabu!$H$7:$H$206,Rabu!$C$7:$C$206,$B42,Rabu!$A$7:$A$206,"&gt;="&amp;DATE(2027,1,4),Rabu!$A$7:$A$206,"&lt;="&amp;DATE(2027,1,10))+SUMIFS(Kamis!$H$7:$H$186,Kamis!$C$7:$C$186,$B42,Kamis!$A$7:$A$186,"&gt;="&amp;DATE(2027,1,4),Kamis!$A$7:$A$186,"&lt;="&amp;DATE(2027,1,10))+SUMIFS(Jumat!$H$7:$H$186,Jumat!$C$7:$C$186,$B42,Jumat!$A$7:$A$186,"&gt;="&amp;DATE(2027,1,4),Jumat!$A$7:$A$186,"&lt;="&amp;DATE(2027,1,10))</f>
        <v>0</v>
      </c>
      <c r="AD42" s="45">
        <f>SUMIFS(Senin!$H$7:$H$146,Senin!$C$7:$C$146,$B42,Senin!$A$7:$A$146,"&gt;="&amp;DATE(2027,1,11),Senin!$A$7:$A$146,"&lt;="&amp;DATE(2027,1,17))+SUMIFS(Selasa!$H$7:$H$166,Selasa!$C$7:$C$166,$B42,Selasa!$A$7:$A$166,"&gt;="&amp;DATE(2027,1,11),Selasa!$A$7:$A$166,"&lt;="&amp;DATE(2027,1,17))+SUMIFS(Rabu!$H$7:$H$206,Rabu!$C$7:$C$206,$B42,Rabu!$A$7:$A$206,"&gt;="&amp;DATE(2027,1,11),Rabu!$A$7:$A$206,"&lt;="&amp;DATE(2027,1,17))+SUMIFS(Kamis!$H$7:$H$186,Kamis!$C$7:$C$186,$B42,Kamis!$A$7:$A$186,"&gt;="&amp;DATE(2027,1,11),Kamis!$A$7:$A$186,"&lt;="&amp;DATE(2027,1,17))+SUMIFS(Jumat!$H$7:$H$186,Jumat!$C$7:$C$186,$B42,Jumat!$A$7:$A$186,"&gt;="&amp;DATE(2027,1,11),Jumat!$A$7:$A$186,"&lt;="&amp;DATE(2027,1,17))</f>
        <v>0</v>
      </c>
    </row>
    <row r="43" ht="15.75" customHeight="1">
      <c r="A43" s="62">
        <v>40.0</v>
      </c>
      <c r="B43" s="26" t="s">
        <v>26</v>
      </c>
      <c r="C43" s="41">
        <f>COUNTIFS(Senin!$C$7:$C$146,$B43,Senin!$G$7:$G$146,"Ya",Senin!$E$7:$E$146,"&lt;&gt;")+COUNTIFS(Selasa!$C$7:$C$166,$B43,Selasa!$G$7:$G$166,"Ya",Selasa!$E$7:$E$166,"&lt;&gt;")+COUNTIFS(Rabu!$C$7:$C$206,$B43,Rabu!$G$7:$G$206,"Ya",Rabu!$E$7:$E$206,"&lt;&gt;")+COUNTIFS(Kamis!$C$7:$C$186,$B43,Kamis!$G$7:$G$186,"Ya",Kamis!$E$7:$E$186,"&lt;&gt;")+COUNTIFS(Jumat!$C$7:$C$186,$B43,Jumat!$G$7:$G$186,"Ya",Jumat!$E$7:$E$186,"&lt;&gt;")</f>
        <v>0</v>
      </c>
      <c r="D43" s="41">
        <f>COUNTIFS(Senin!$C$7:$C$146,$B43,Senin!$G$7:$G$146,"Ya",Senin!$E$7:$E$146,"")+COUNTIFS(Selasa!$C$7:$C$166,$B43,Selasa!$G$7:$G$166,"Ya",Selasa!$E$7:$E$166,"")+COUNTIFS(Rabu!$C$7:$C$206,$B43,Rabu!$G$7:$G$206,"Ya",Rabu!$E$7:$E$206,"")+COUNTIFS(Kamis!$C$7:$C$186,$B43,Kamis!$G$7:$G$186,"Ya",Kamis!$E$7:$E$186,"")+COUNTIFS(Jumat!$C$7:$C$186,$B43,Jumat!$G$7:$G$186,"Ya",Jumat!$E$7:$E$186,"")</f>
        <v>0</v>
      </c>
      <c r="E43" s="45">
        <f>SUMIFS(Senin!$H$7:$H$146,Senin!$C$7:$C$146,$B43,Senin!$A$7:$A$146,"&gt;="&amp;DATE(2026,8,1),Senin!$A$7:$A$146,"&lt;="&amp;DATE(2026,12,31))+SUMIFS(Selasa!$H$7:$H$166,Selasa!$C$7:$C$166,$B43,Selasa!$A$7:$A$166,"&gt;="&amp;DATE(2026,8,1),Selasa!$A$7:$A$166,"&lt;="&amp;DATE(2026,12,31))+SUMIFS(Rabu!$H$7:$H$206,Rabu!$C$7:$C$206,$B43,Rabu!$A$7:$A$206,"&gt;="&amp;DATE(2026,8,1),Rabu!$A$7:$A$206,"&lt;="&amp;DATE(2026,12,31))+SUMIFS(Kamis!$H$7:$H$186,Kamis!$C$7:$C$186,$B43,Kamis!$A$7:$A$186,"&gt;="&amp;DATE(2026,8,1),Kamis!$A$7:$A$186,"&lt;="&amp;DATE(2026,12,31))+SUMIFS(Jumat!$H$7:$H$186,Jumat!$C$7:$C$186,$B43,Jumat!$A$7:$A$186,"&gt;="&amp;DATE(2026,8,1),Jumat!$A$7:$A$186,"&lt;="&amp;DATE(2026,12,31))</f>
        <v>0</v>
      </c>
      <c r="F43" s="45">
        <f>SUMIFS(Senin!$H$7:$H$146,Senin!$C$7:$C$146,$B43,Senin!$A$7:$A$146,"&gt;="&amp;DATE(2026,8,1),Senin!$A$7:$A$146,"&lt;="&amp;DATE(2026,8,31))+SUMIFS(Selasa!$H$7:$H$166,Selasa!$C$7:$C$166,$B43,Selasa!$A$7:$A$166,"&gt;="&amp;DATE(2026,8,1),Selasa!$A$7:$A$166,"&lt;="&amp;DATE(2026,8,31))+SUMIFS(Rabu!$H$7:$H$206,Rabu!$C$7:$C$206,$B43,Rabu!$A$7:$A$206,"&gt;="&amp;DATE(2026,8,1),Rabu!$A$7:$A$206,"&lt;="&amp;DATE(2026,8,31))+SUMIFS(Kamis!$H$7:$H$186,Kamis!$C$7:$C$186,$B43,Kamis!$A$7:$A$186,"&gt;="&amp;DATE(2026,8,1),Kamis!$A$7:$A$186,"&lt;="&amp;DATE(2026,8,31))+SUMIFS(Jumat!$H$7:$H$186,Jumat!$C$7:$C$186,$B43,Jumat!$A$7:$A$186,"&gt;="&amp;DATE(2026,8,1),Jumat!$A$7:$A$186,"&lt;="&amp;DATE(2026,8,31))</f>
        <v>0</v>
      </c>
      <c r="G43" s="45">
        <f>SUMIFS(Senin!$H$7:$H$146,Senin!$C$7:$C$146,$B43,Senin!$A$7:$A$146,"&gt;="&amp;DATE(2026,9,1),Senin!$A$7:$A$146,"&lt;="&amp;DATE(2026,9,30))+SUMIFS(Selasa!$H$7:$H$166,Selasa!$C$7:$C$166,$B43,Selasa!$A$7:$A$166,"&gt;="&amp;DATE(2026,9,1),Selasa!$A$7:$A$166,"&lt;="&amp;DATE(2026,9,30))+SUMIFS(Rabu!$H$7:$H$206,Rabu!$C$7:$C$206,$B43,Rabu!$A$7:$A$206,"&gt;="&amp;DATE(2026,9,1),Rabu!$A$7:$A$206,"&lt;="&amp;DATE(2026,9,30))+SUMIFS(Kamis!$H$7:$H$186,Kamis!$C$7:$C$186,$B43,Kamis!$A$7:$A$186,"&gt;="&amp;DATE(2026,9,1),Kamis!$A$7:$A$186,"&lt;="&amp;DATE(2026,9,30))+SUMIFS(Jumat!$H$7:$H$186,Jumat!$C$7:$C$186,$B43,Jumat!$A$7:$A$186,"&gt;="&amp;DATE(2026,9,1),Jumat!$A$7:$A$186,"&lt;="&amp;DATE(2026,9,30))</f>
        <v>0</v>
      </c>
      <c r="H43" s="45">
        <f>SUMIFS(Senin!$H$7:$H$146,Senin!$C$7:$C$146,$B43,Senin!$A$7:$A$146,"&gt;="&amp;DATE(2026,10,1),Senin!$A$7:$A$146,"&lt;="&amp;DATE(2026,10,31))+SUMIFS(Selasa!$H$7:$H$166,Selasa!$C$7:$C$166,$B43,Selasa!$A$7:$A$166,"&gt;="&amp;DATE(2026,10,1),Selasa!$A$7:$A$166,"&lt;="&amp;DATE(2026,10,31))+SUMIFS(Rabu!$H$7:$H$206,Rabu!$C$7:$C$206,$B43,Rabu!$A$7:$A$206,"&gt;="&amp;DATE(2026,10,1),Rabu!$A$7:$A$206,"&lt;="&amp;DATE(2026,10,31))+SUMIFS(Kamis!$H$7:$H$186,Kamis!$C$7:$C$186,$B43,Kamis!$A$7:$A$186,"&gt;="&amp;DATE(2026,10,1),Kamis!$A$7:$A$186,"&lt;="&amp;DATE(2026,10,31))+SUMIFS(Jumat!$H$7:$H$186,Jumat!$C$7:$C$186,$B43,Jumat!$A$7:$A$186,"&gt;="&amp;DATE(2026,10,1),Jumat!$A$7:$A$186,"&lt;="&amp;DATE(2026,10,31))</f>
        <v>0</v>
      </c>
      <c r="I43" s="45">
        <f>SUMIFS(Senin!$H$7:$H$146,Senin!$C$7:$C$146,$B43,Senin!$A$7:$A$146,"&gt;="&amp;DATE(2026,11,1),Senin!$A$7:$A$146,"&lt;="&amp;DATE(2026,11,30))+SUMIFS(Selasa!$H$7:$H$166,Selasa!$C$7:$C$166,$B43,Selasa!$A$7:$A$166,"&gt;="&amp;DATE(2026,11,1),Selasa!$A$7:$A$166,"&lt;="&amp;DATE(2026,11,30))+SUMIFS(Rabu!$H$7:$H$206,Rabu!$C$7:$C$206,$B43,Rabu!$A$7:$A$206,"&gt;="&amp;DATE(2026,11,1),Rabu!$A$7:$A$206,"&lt;="&amp;DATE(2026,11,30))+SUMIFS(Kamis!$H$7:$H$186,Kamis!$C$7:$C$186,$B43,Kamis!$A$7:$A$186,"&gt;="&amp;DATE(2026,11,1),Kamis!$A$7:$A$186,"&lt;="&amp;DATE(2026,11,30))+SUMIFS(Jumat!$H$7:$H$186,Jumat!$C$7:$C$186,$B43,Jumat!$A$7:$A$186,"&gt;="&amp;DATE(2026,11,1),Jumat!$A$7:$A$186,"&lt;="&amp;DATE(2026,11,30))</f>
        <v>0</v>
      </c>
      <c r="J43" s="45">
        <f>SUMIFS(Senin!$H$7:$H$146,Senin!$C$7:$C$146,$B43,Senin!$A$7:$A$146,"&gt;="&amp;DATE(2026,12,1),Senin!$A$7:$A$146,"&lt;="&amp;DATE(2026,12,31))+SUMIFS(Selasa!$H$7:$H$166,Selasa!$C$7:$C$166,$B43,Selasa!$A$7:$A$166,"&gt;="&amp;DATE(2026,12,1),Selasa!$A$7:$A$166,"&lt;="&amp;DATE(2026,12,31))+SUMIFS(Rabu!$H$7:$H$206,Rabu!$C$7:$C$206,$B43,Rabu!$A$7:$A$206,"&gt;="&amp;DATE(2026,12,1),Rabu!$A$7:$A$206,"&lt;="&amp;DATE(2026,12,31))+SUMIFS(Kamis!$H$7:$H$186,Kamis!$C$7:$C$186,$B43,Kamis!$A$7:$A$186,"&gt;="&amp;DATE(2026,12,1),Kamis!$A$7:$A$186,"&lt;="&amp;DATE(2026,12,31))+SUMIFS(Jumat!$H$7:$H$186,Jumat!$C$7:$C$186,$B43,Jumat!$A$7:$A$186,"&gt;="&amp;DATE(2026,12,1),Jumat!$A$7:$A$186,"&lt;="&amp;DATE(2026,12,31))</f>
        <v>0</v>
      </c>
      <c r="K43" s="45">
        <f>SUMIFS(Senin!$H$7:$H$146,Senin!$C$7:$C$146,$B43,Senin!$A$7:$A$146,"&gt;="&amp;DATE(2026,8,31),Senin!$A$7:$A$146,"&lt;="&amp;DATE(2026,9,6))+SUMIFS(Selasa!$H$7:$H$166,Selasa!$C$7:$C$166,$B43,Selasa!$A$7:$A$166,"&gt;="&amp;DATE(2026,8,31),Selasa!$A$7:$A$166,"&lt;="&amp;DATE(2026,9,6))+SUMIFS(Rabu!$H$7:$H$206,Rabu!$C$7:$C$206,$B43,Rabu!$A$7:$A$206,"&gt;="&amp;DATE(2026,8,31),Rabu!$A$7:$A$206,"&lt;="&amp;DATE(2026,9,6))+SUMIFS(Kamis!$H$7:$H$186,Kamis!$C$7:$C$186,$B43,Kamis!$A$7:$A$186,"&gt;="&amp;DATE(2026,8,31),Kamis!$A$7:$A$186,"&lt;="&amp;DATE(2026,9,6))+SUMIFS(Jumat!$H$7:$H$186,Jumat!$C$7:$C$186,$B43,Jumat!$A$7:$A$186,"&gt;="&amp;DATE(2026,8,31),Jumat!$A$7:$A$186,"&lt;="&amp;DATE(2026,9,6))</f>
        <v>0</v>
      </c>
      <c r="L43" s="45">
        <f>SUMIFS(Senin!$H$7:$H$146,Senin!$C$7:$C$146,$B43,Senin!$A$7:$A$146,"&gt;="&amp;DATE(2026,9,7),Senin!$A$7:$A$146,"&lt;="&amp;DATE(2026,9,13))+SUMIFS(Selasa!$H$7:$H$166,Selasa!$C$7:$C$166,$B43,Selasa!$A$7:$A$166,"&gt;="&amp;DATE(2026,9,7),Selasa!$A$7:$A$166,"&lt;="&amp;DATE(2026,9,13))+SUMIFS(Rabu!$H$7:$H$206,Rabu!$C$7:$C$206,$B43,Rabu!$A$7:$A$206,"&gt;="&amp;DATE(2026,9,7),Rabu!$A$7:$A$206,"&lt;="&amp;DATE(2026,9,13))+SUMIFS(Kamis!$H$7:$H$186,Kamis!$C$7:$C$186,$B43,Kamis!$A$7:$A$186,"&gt;="&amp;DATE(2026,9,7),Kamis!$A$7:$A$186,"&lt;="&amp;DATE(2026,9,13))+SUMIFS(Jumat!$H$7:$H$186,Jumat!$C$7:$C$186,$B43,Jumat!$A$7:$A$186,"&gt;="&amp;DATE(2026,9,7),Jumat!$A$7:$A$186,"&lt;="&amp;DATE(2026,9,13))</f>
        <v>0</v>
      </c>
      <c r="M43" s="45">
        <f>SUMIFS(Senin!$H$7:$H$146,Senin!$C$7:$C$146,$B43,Senin!$A$7:$A$146,"&gt;="&amp;DATE(2026,9,14),Senin!$A$7:$A$146,"&lt;="&amp;DATE(2026,9,20))+SUMIFS(Selasa!$H$7:$H$166,Selasa!$C$7:$C$166,$B43,Selasa!$A$7:$A$166,"&gt;="&amp;DATE(2026,9,14),Selasa!$A$7:$A$166,"&lt;="&amp;DATE(2026,9,20))+SUMIFS(Rabu!$H$7:$H$206,Rabu!$C$7:$C$206,$B43,Rabu!$A$7:$A$206,"&gt;="&amp;DATE(2026,9,14),Rabu!$A$7:$A$206,"&lt;="&amp;DATE(2026,9,20))+SUMIFS(Kamis!$H$7:$H$186,Kamis!$C$7:$C$186,$B43,Kamis!$A$7:$A$186,"&gt;="&amp;DATE(2026,9,14),Kamis!$A$7:$A$186,"&lt;="&amp;DATE(2026,9,20))+SUMIFS(Jumat!$H$7:$H$186,Jumat!$C$7:$C$186,$B43,Jumat!$A$7:$A$186,"&gt;="&amp;DATE(2026,9,14),Jumat!$A$7:$A$186,"&lt;="&amp;DATE(2026,9,20))</f>
        <v>0</v>
      </c>
      <c r="N43" s="45">
        <f>SUMIFS(Senin!$H$7:$H$146,Senin!$C$7:$C$146,$B43,Senin!$A$7:$A$146,"&gt;="&amp;DATE(2026,9,21),Senin!$A$7:$A$146,"&lt;="&amp;DATE(2026,9,27))+SUMIFS(Selasa!$H$7:$H$166,Selasa!$C$7:$C$166,$B43,Selasa!$A$7:$A$166,"&gt;="&amp;DATE(2026,9,21),Selasa!$A$7:$A$166,"&lt;="&amp;DATE(2026,9,27))+SUMIFS(Rabu!$H$7:$H$206,Rabu!$C$7:$C$206,$B43,Rabu!$A$7:$A$206,"&gt;="&amp;DATE(2026,9,21),Rabu!$A$7:$A$206,"&lt;="&amp;DATE(2026,9,27))+SUMIFS(Kamis!$H$7:$H$186,Kamis!$C$7:$C$186,$B43,Kamis!$A$7:$A$186,"&gt;="&amp;DATE(2026,9,21),Kamis!$A$7:$A$186,"&lt;="&amp;DATE(2026,9,27))+SUMIFS(Jumat!$H$7:$H$186,Jumat!$C$7:$C$186,$B43,Jumat!$A$7:$A$186,"&gt;="&amp;DATE(2026,9,21),Jumat!$A$7:$A$186,"&lt;="&amp;DATE(2026,9,27))</f>
        <v>0</v>
      </c>
      <c r="O43" s="45">
        <f>SUMIFS(Senin!$H$7:$H$146,Senin!$C$7:$C$146,$B43,Senin!$A$7:$A$146,"&gt;="&amp;DATE(2026,9,28),Senin!$A$7:$A$146,"&lt;="&amp;DATE(2026,10,4))+SUMIFS(Selasa!$H$7:$H$166,Selasa!$C$7:$C$166,$B43,Selasa!$A$7:$A$166,"&gt;="&amp;DATE(2026,9,28),Selasa!$A$7:$A$166,"&lt;="&amp;DATE(2026,10,4))+SUMIFS(Rabu!$H$7:$H$206,Rabu!$C$7:$C$206,$B43,Rabu!$A$7:$A$206,"&gt;="&amp;DATE(2026,9,28),Rabu!$A$7:$A$206,"&lt;="&amp;DATE(2026,10,4))+SUMIFS(Kamis!$H$7:$H$186,Kamis!$C$7:$C$186,$B43,Kamis!$A$7:$A$186,"&gt;="&amp;DATE(2026,9,28),Kamis!$A$7:$A$186,"&lt;="&amp;DATE(2026,10,4))+SUMIFS(Jumat!$H$7:$H$186,Jumat!$C$7:$C$186,$B43,Jumat!$A$7:$A$186,"&gt;="&amp;DATE(2026,9,28),Jumat!$A$7:$A$186,"&lt;="&amp;DATE(2026,10,4))</f>
        <v>0</v>
      </c>
      <c r="P43" s="45">
        <f>SUMIFS(Senin!$H$7:$H$146,Senin!$C$7:$C$146,$B43,Senin!$A$7:$A$146,"&gt;="&amp;DATE(2026,10,5),Senin!$A$7:$A$146,"&lt;="&amp;DATE(2026,10,11))+SUMIFS(Selasa!$H$7:$H$166,Selasa!$C$7:$C$166,$B43,Selasa!$A$7:$A$166,"&gt;="&amp;DATE(2026,10,5),Selasa!$A$7:$A$166,"&lt;="&amp;DATE(2026,10,11))+SUMIFS(Rabu!$H$7:$H$206,Rabu!$C$7:$C$206,$B43,Rabu!$A$7:$A$206,"&gt;="&amp;DATE(2026,10,5),Rabu!$A$7:$A$206,"&lt;="&amp;DATE(2026,10,11))+SUMIFS(Kamis!$H$7:$H$186,Kamis!$C$7:$C$186,$B43,Kamis!$A$7:$A$186,"&gt;="&amp;DATE(2026,10,5),Kamis!$A$7:$A$186,"&lt;="&amp;DATE(2026,10,11))+SUMIFS(Jumat!$H$7:$H$186,Jumat!$C$7:$C$186,$B43,Jumat!$A$7:$A$186,"&gt;="&amp;DATE(2026,10,5),Jumat!$A$7:$A$186,"&lt;="&amp;DATE(2026,10,11))</f>
        <v>0</v>
      </c>
      <c r="Q43" s="45">
        <f>SUMIFS(Senin!$H$7:$H$146,Senin!$C$7:$C$146,$B43,Senin!$A$7:$A$146,"&gt;="&amp;DATE(2026,10,12),Senin!$A$7:$A$146,"&lt;="&amp;DATE(2026,10,18))+SUMIFS(Selasa!$H$7:$H$166,Selasa!$C$7:$C$166,$B43,Selasa!$A$7:$A$166,"&gt;="&amp;DATE(2026,10,12),Selasa!$A$7:$A$166,"&lt;="&amp;DATE(2026,10,18))+SUMIFS(Rabu!$H$7:$H$206,Rabu!$C$7:$C$206,$B43,Rabu!$A$7:$A$206,"&gt;="&amp;DATE(2026,10,12),Rabu!$A$7:$A$206,"&lt;="&amp;DATE(2026,10,18))+SUMIFS(Kamis!$H$7:$H$186,Kamis!$C$7:$C$186,$B43,Kamis!$A$7:$A$186,"&gt;="&amp;DATE(2026,10,12),Kamis!$A$7:$A$186,"&lt;="&amp;DATE(2026,10,18))+SUMIFS(Jumat!$H$7:$H$186,Jumat!$C$7:$C$186,$B43,Jumat!$A$7:$A$186,"&gt;="&amp;DATE(2026,10,12),Jumat!$A$7:$A$186,"&lt;="&amp;DATE(2026,10,18))</f>
        <v>0</v>
      </c>
      <c r="R43" s="45">
        <f>SUMIFS(Senin!$H$7:$H$146,Senin!$C$7:$C$146,$B43,Senin!$A$7:$A$146,"&gt;="&amp;DATE(2026,10,19),Senin!$A$7:$A$146,"&lt;="&amp;DATE(2026,10,25))+SUMIFS(Selasa!$H$7:$H$166,Selasa!$C$7:$C$166,$B43,Selasa!$A$7:$A$166,"&gt;="&amp;DATE(2026,10,19),Selasa!$A$7:$A$166,"&lt;="&amp;DATE(2026,10,25))+SUMIFS(Rabu!$H$7:$H$206,Rabu!$C$7:$C$206,$B43,Rabu!$A$7:$A$206,"&gt;="&amp;DATE(2026,10,19),Rabu!$A$7:$A$206,"&lt;="&amp;DATE(2026,10,25))+SUMIFS(Kamis!$H$7:$H$186,Kamis!$C$7:$C$186,$B43,Kamis!$A$7:$A$186,"&gt;="&amp;DATE(2026,10,19),Kamis!$A$7:$A$186,"&lt;="&amp;DATE(2026,10,25))+SUMIFS(Jumat!$H$7:$H$186,Jumat!$C$7:$C$186,$B43,Jumat!$A$7:$A$186,"&gt;="&amp;DATE(2026,10,19),Jumat!$A$7:$A$186,"&lt;="&amp;DATE(2026,10,25))</f>
        <v>0</v>
      </c>
      <c r="S43" s="45">
        <f>SUMIFS(Senin!$H$7:$H$146,Senin!$C$7:$C$146,$B43,Senin!$A$7:$A$146,"&gt;="&amp;DATE(2026,10,26),Senin!$A$7:$A$146,"&lt;="&amp;DATE(2026,11,1))+SUMIFS(Selasa!$H$7:$H$166,Selasa!$C$7:$C$166,$B43,Selasa!$A$7:$A$166,"&gt;="&amp;DATE(2026,10,26),Selasa!$A$7:$A$166,"&lt;="&amp;DATE(2026,11,1))+SUMIFS(Rabu!$H$7:$H$206,Rabu!$C$7:$C$206,$B43,Rabu!$A$7:$A$206,"&gt;="&amp;DATE(2026,10,26),Rabu!$A$7:$A$206,"&lt;="&amp;DATE(2026,11,1))+SUMIFS(Kamis!$H$7:$H$186,Kamis!$C$7:$C$186,$B43,Kamis!$A$7:$A$186,"&gt;="&amp;DATE(2026,10,26),Kamis!$A$7:$A$186,"&lt;="&amp;DATE(2026,11,1))+SUMIFS(Jumat!$H$7:$H$186,Jumat!$C$7:$C$186,$B43,Jumat!$A$7:$A$186,"&gt;="&amp;DATE(2026,10,26),Jumat!$A$7:$A$186,"&lt;="&amp;DATE(2026,11,1))</f>
        <v>0</v>
      </c>
      <c r="T43" s="45">
        <f>SUMIFS(Senin!$H$7:$H$146,Senin!$C$7:$C$146,$B43,Senin!$A$7:$A$146,"&gt;="&amp;DATE(2026,11,2),Senin!$A$7:$A$146,"&lt;="&amp;DATE(2026,11,8))+SUMIFS(Selasa!$H$7:$H$166,Selasa!$C$7:$C$166,$B43,Selasa!$A$7:$A$166,"&gt;="&amp;DATE(2026,11,2),Selasa!$A$7:$A$166,"&lt;="&amp;DATE(2026,11,8))+SUMIFS(Rabu!$H$7:$H$206,Rabu!$C$7:$C$206,$B43,Rabu!$A$7:$A$206,"&gt;="&amp;DATE(2026,11,2),Rabu!$A$7:$A$206,"&lt;="&amp;DATE(2026,11,8))+SUMIFS(Kamis!$H$7:$H$186,Kamis!$C$7:$C$186,$B43,Kamis!$A$7:$A$186,"&gt;="&amp;DATE(2026,11,2),Kamis!$A$7:$A$186,"&lt;="&amp;DATE(2026,11,8))+SUMIFS(Jumat!$H$7:$H$186,Jumat!$C$7:$C$186,$B43,Jumat!$A$7:$A$186,"&gt;="&amp;DATE(2026,11,2),Jumat!$A$7:$A$186,"&lt;="&amp;DATE(2026,11,8))</f>
        <v>0</v>
      </c>
      <c r="U43" s="45">
        <f>SUMIFS(Senin!$H$7:$H$146,Senin!$C$7:$C$146,$B43,Senin!$A$7:$A$146,"&gt;="&amp;DATE(2026,11,9),Senin!$A$7:$A$146,"&lt;="&amp;DATE(2026,11,15))+SUMIFS(Selasa!$H$7:$H$166,Selasa!$C$7:$C$166,$B43,Selasa!$A$7:$A$166,"&gt;="&amp;DATE(2026,11,9),Selasa!$A$7:$A$166,"&lt;="&amp;DATE(2026,11,15))+SUMIFS(Rabu!$H$7:$H$206,Rabu!$C$7:$C$206,$B43,Rabu!$A$7:$A$206,"&gt;="&amp;DATE(2026,11,9),Rabu!$A$7:$A$206,"&lt;="&amp;DATE(2026,11,15))+SUMIFS(Kamis!$H$7:$H$186,Kamis!$C$7:$C$186,$B43,Kamis!$A$7:$A$186,"&gt;="&amp;DATE(2026,11,9),Kamis!$A$7:$A$186,"&lt;="&amp;DATE(2026,11,15))+SUMIFS(Jumat!$H$7:$H$186,Jumat!$C$7:$C$186,$B43,Jumat!$A$7:$A$186,"&gt;="&amp;DATE(2026,11,9),Jumat!$A$7:$A$186,"&lt;="&amp;DATE(2026,11,15))</f>
        <v>0</v>
      </c>
      <c r="V43" s="45">
        <f>SUMIFS(Senin!$H$7:$H$146,Senin!$C$7:$C$146,$B43,Senin!$A$7:$A$146,"&gt;="&amp;DATE(2026,11,16),Senin!$A$7:$A$146,"&lt;="&amp;DATE(2026,11,22))+SUMIFS(Selasa!$H$7:$H$166,Selasa!$C$7:$C$166,$B43,Selasa!$A$7:$A$166,"&gt;="&amp;DATE(2026,11,16),Selasa!$A$7:$A$166,"&lt;="&amp;DATE(2026,11,22))+SUMIFS(Rabu!$H$7:$H$206,Rabu!$C$7:$C$206,$B43,Rabu!$A$7:$A$206,"&gt;="&amp;DATE(2026,11,16),Rabu!$A$7:$A$206,"&lt;="&amp;DATE(2026,11,22))+SUMIFS(Kamis!$H$7:$H$186,Kamis!$C$7:$C$186,$B43,Kamis!$A$7:$A$186,"&gt;="&amp;DATE(2026,11,16),Kamis!$A$7:$A$186,"&lt;="&amp;DATE(2026,11,22))+SUMIFS(Jumat!$H$7:$H$186,Jumat!$C$7:$C$186,$B43,Jumat!$A$7:$A$186,"&gt;="&amp;DATE(2026,11,16),Jumat!$A$7:$A$186,"&lt;="&amp;DATE(2026,11,22))</f>
        <v>0</v>
      </c>
      <c r="W43" s="45">
        <f>SUMIFS(Senin!$H$7:$H$146,Senin!$C$7:$C$146,$B43,Senin!$A$7:$A$146,"&gt;="&amp;DATE(2026,11,23),Senin!$A$7:$A$146,"&lt;="&amp;DATE(2026,11,29))+SUMIFS(Selasa!$H$7:$H$166,Selasa!$C$7:$C$166,$B43,Selasa!$A$7:$A$166,"&gt;="&amp;DATE(2026,11,23),Selasa!$A$7:$A$166,"&lt;="&amp;DATE(2026,11,29))+SUMIFS(Rabu!$H$7:$H$206,Rabu!$C$7:$C$206,$B43,Rabu!$A$7:$A$206,"&gt;="&amp;DATE(2026,11,23),Rabu!$A$7:$A$206,"&lt;="&amp;DATE(2026,11,29))+SUMIFS(Kamis!$H$7:$H$186,Kamis!$C$7:$C$186,$B43,Kamis!$A$7:$A$186,"&gt;="&amp;DATE(2026,11,23),Kamis!$A$7:$A$186,"&lt;="&amp;DATE(2026,11,29))+SUMIFS(Jumat!$H$7:$H$186,Jumat!$C$7:$C$186,$B43,Jumat!$A$7:$A$186,"&gt;="&amp;DATE(2026,11,23),Jumat!$A$7:$A$186,"&lt;="&amp;DATE(2026,11,29))</f>
        <v>0</v>
      </c>
      <c r="X43" s="45">
        <f>SUMIFS(Senin!$H$7:$H$146,Senin!$C$7:$C$146,$B43,Senin!$A$7:$A$146,"&gt;="&amp;DATE(2026,11,30),Senin!$A$7:$A$146,"&lt;="&amp;DATE(2026,12,6))+SUMIFS(Selasa!$H$7:$H$166,Selasa!$C$7:$C$166,$B43,Selasa!$A$7:$A$166,"&gt;="&amp;DATE(2026,11,30),Selasa!$A$7:$A$166,"&lt;="&amp;DATE(2026,12,6))+SUMIFS(Rabu!$H$7:$H$206,Rabu!$C$7:$C$206,$B43,Rabu!$A$7:$A$206,"&gt;="&amp;DATE(2026,11,30),Rabu!$A$7:$A$206,"&lt;="&amp;DATE(2026,12,6))+SUMIFS(Kamis!$H$7:$H$186,Kamis!$C$7:$C$186,$B43,Kamis!$A$7:$A$186,"&gt;="&amp;DATE(2026,11,30),Kamis!$A$7:$A$186,"&lt;="&amp;DATE(2026,12,6))+SUMIFS(Jumat!$H$7:$H$186,Jumat!$C$7:$C$186,$B43,Jumat!$A$7:$A$186,"&gt;="&amp;DATE(2026,11,30),Jumat!$A$7:$A$186,"&lt;="&amp;DATE(2026,12,6))</f>
        <v>0</v>
      </c>
      <c r="Y43" s="45">
        <f>SUMIFS(Senin!$H$7:$H$146,Senin!$C$7:$C$146,$B43,Senin!$A$7:$A$146,"&gt;="&amp;DATE(2026,12,7),Senin!$A$7:$A$146,"&lt;="&amp;DATE(2026,12,13))+SUMIFS(Selasa!$H$7:$H$166,Selasa!$C$7:$C$166,$B43,Selasa!$A$7:$A$166,"&gt;="&amp;DATE(2026,12,7),Selasa!$A$7:$A$166,"&lt;="&amp;DATE(2026,12,13))+SUMIFS(Rabu!$H$7:$H$206,Rabu!$C$7:$C$206,$B43,Rabu!$A$7:$A$206,"&gt;="&amp;DATE(2026,12,7),Rabu!$A$7:$A$206,"&lt;="&amp;DATE(2026,12,13))+SUMIFS(Kamis!$H$7:$H$186,Kamis!$C$7:$C$186,$B43,Kamis!$A$7:$A$186,"&gt;="&amp;DATE(2026,12,7),Kamis!$A$7:$A$186,"&lt;="&amp;DATE(2026,12,13))+SUMIFS(Jumat!$H$7:$H$186,Jumat!$C$7:$C$186,$B43,Jumat!$A$7:$A$186,"&gt;="&amp;DATE(2026,12,7),Jumat!$A$7:$A$186,"&lt;="&amp;DATE(2026,12,13))</f>
        <v>0</v>
      </c>
      <c r="Z43" s="45">
        <f>SUMIFS(Senin!$H$7:$H$146,Senin!$C$7:$C$146,$B43,Senin!$A$7:$A$146,"&gt;="&amp;DATE(2026,12,14),Senin!$A$7:$A$146,"&lt;="&amp;DATE(2026,12,20))+SUMIFS(Selasa!$H$7:$H$166,Selasa!$C$7:$C$166,$B43,Selasa!$A$7:$A$166,"&gt;="&amp;DATE(2026,12,14),Selasa!$A$7:$A$166,"&lt;="&amp;DATE(2026,12,20))+SUMIFS(Rabu!$H$7:$H$206,Rabu!$C$7:$C$206,$B43,Rabu!$A$7:$A$206,"&gt;="&amp;DATE(2026,12,14),Rabu!$A$7:$A$206,"&lt;="&amp;DATE(2026,12,20))+SUMIFS(Kamis!$H$7:$H$186,Kamis!$C$7:$C$186,$B43,Kamis!$A$7:$A$186,"&gt;="&amp;DATE(2026,12,14),Kamis!$A$7:$A$186,"&lt;="&amp;DATE(2026,12,20))+SUMIFS(Jumat!$H$7:$H$186,Jumat!$C$7:$C$186,$B43,Jumat!$A$7:$A$186,"&gt;="&amp;DATE(2026,12,14),Jumat!$A$7:$A$186,"&lt;="&amp;DATE(2026,12,20))</f>
        <v>0</v>
      </c>
      <c r="AA43" s="45">
        <f>SUMIFS(Senin!$H$7:$H$146,Senin!$C$7:$C$146,$B43,Senin!$A$7:$A$146,"&gt;="&amp;DATE(2026,12,21),Senin!$A$7:$A$146,"&lt;="&amp;DATE(2026,12,27))+SUMIFS(Selasa!$H$7:$H$166,Selasa!$C$7:$C$166,$B43,Selasa!$A$7:$A$166,"&gt;="&amp;DATE(2026,12,21),Selasa!$A$7:$A$166,"&lt;="&amp;DATE(2026,12,27))+SUMIFS(Rabu!$H$7:$H$206,Rabu!$C$7:$C$206,$B43,Rabu!$A$7:$A$206,"&gt;="&amp;DATE(2026,12,21),Rabu!$A$7:$A$206,"&lt;="&amp;DATE(2026,12,27))+SUMIFS(Kamis!$H$7:$H$186,Kamis!$C$7:$C$186,$B43,Kamis!$A$7:$A$186,"&gt;="&amp;DATE(2026,12,21),Kamis!$A$7:$A$186,"&lt;="&amp;DATE(2026,12,27))+SUMIFS(Jumat!$H$7:$H$186,Jumat!$C$7:$C$186,$B43,Jumat!$A$7:$A$186,"&gt;="&amp;DATE(2026,12,21),Jumat!$A$7:$A$186,"&lt;="&amp;DATE(2026,12,27))</f>
        <v>0</v>
      </c>
      <c r="AB43" s="45">
        <f>SUMIFS(Senin!$H$7:$H$146,Senin!$C$7:$C$146,$B43,Senin!$A$7:$A$146,"&gt;="&amp;DATE(2026,12,28),Senin!$A$7:$A$146,"&lt;="&amp;DATE(2027,1,3))+SUMIFS(Selasa!$H$7:$H$166,Selasa!$C$7:$C$166,$B43,Selasa!$A$7:$A$166,"&gt;="&amp;DATE(2026,12,28),Selasa!$A$7:$A$166,"&lt;="&amp;DATE(2027,1,3))+SUMIFS(Rabu!$H$7:$H$206,Rabu!$C$7:$C$206,$B43,Rabu!$A$7:$A$206,"&gt;="&amp;DATE(2026,12,28),Rabu!$A$7:$A$206,"&lt;="&amp;DATE(2027,1,3))+SUMIFS(Kamis!$H$7:$H$186,Kamis!$C$7:$C$186,$B43,Kamis!$A$7:$A$186,"&gt;="&amp;DATE(2026,12,28),Kamis!$A$7:$A$186,"&lt;="&amp;DATE(2027,1,3))+SUMIFS(Jumat!$H$7:$H$186,Jumat!$C$7:$C$186,$B43,Jumat!$A$7:$A$186,"&gt;="&amp;DATE(2026,12,28),Jumat!$A$7:$A$186,"&lt;="&amp;DATE(2027,1,3))</f>
        <v>0</v>
      </c>
      <c r="AC43" s="45">
        <f>SUMIFS(Senin!$H$7:$H$146,Senin!$C$7:$C$146,$B43,Senin!$A$7:$A$146,"&gt;="&amp;DATE(2027,1,4),Senin!$A$7:$A$146,"&lt;="&amp;DATE(2027,1,10))+SUMIFS(Selasa!$H$7:$H$166,Selasa!$C$7:$C$166,$B43,Selasa!$A$7:$A$166,"&gt;="&amp;DATE(2027,1,4),Selasa!$A$7:$A$166,"&lt;="&amp;DATE(2027,1,10))+SUMIFS(Rabu!$H$7:$H$206,Rabu!$C$7:$C$206,$B43,Rabu!$A$7:$A$206,"&gt;="&amp;DATE(2027,1,4),Rabu!$A$7:$A$206,"&lt;="&amp;DATE(2027,1,10))+SUMIFS(Kamis!$H$7:$H$186,Kamis!$C$7:$C$186,$B43,Kamis!$A$7:$A$186,"&gt;="&amp;DATE(2027,1,4),Kamis!$A$7:$A$186,"&lt;="&amp;DATE(2027,1,10))+SUMIFS(Jumat!$H$7:$H$186,Jumat!$C$7:$C$186,$B43,Jumat!$A$7:$A$186,"&gt;="&amp;DATE(2027,1,4),Jumat!$A$7:$A$186,"&lt;="&amp;DATE(2027,1,10))</f>
        <v>0</v>
      </c>
      <c r="AD43" s="45">
        <f>SUMIFS(Senin!$H$7:$H$146,Senin!$C$7:$C$146,$B43,Senin!$A$7:$A$146,"&gt;="&amp;DATE(2027,1,11),Senin!$A$7:$A$146,"&lt;="&amp;DATE(2027,1,17))+SUMIFS(Selasa!$H$7:$H$166,Selasa!$C$7:$C$166,$B43,Selasa!$A$7:$A$166,"&gt;="&amp;DATE(2027,1,11),Selasa!$A$7:$A$166,"&lt;="&amp;DATE(2027,1,17))+SUMIFS(Rabu!$H$7:$H$206,Rabu!$C$7:$C$206,$B43,Rabu!$A$7:$A$206,"&gt;="&amp;DATE(2027,1,11),Rabu!$A$7:$A$206,"&lt;="&amp;DATE(2027,1,17))+SUMIFS(Kamis!$H$7:$H$186,Kamis!$C$7:$C$186,$B43,Kamis!$A$7:$A$186,"&gt;="&amp;DATE(2027,1,11),Kamis!$A$7:$A$186,"&lt;="&amp;DATE(2027,1,17))+SUMIFS(Jumat!$H$7:$H$186,Jumat!$C$7:$C$186,$B43,Jumat!$A$7:$A$186,"&gt;="&amp;DATE(2027,1,11),Jumat!$A$7:$A$186,"&lt;="&amp;DATE(2027,1,17))</f>
        <v>0</v>
      </c>
    </row>
    <row r="44" ht="15.75" customHeight="1">
      <c r="A44" s="62">
        <v>41.0</v>
      </c>
      <c r="B44" s="26" t="s">
        <v>14</v>
      </c>
      <c r="C44" s="41">
        <f>COUNTIFS(Senin!$C$7:$C$146,$B44,Senin!$G$7:$G$146,"Ya",Senin!$E$7:$E$146,"&lt;&gt;")+COUNTIFS(Selasa!$C$7:$C$166,$B44,Selasa!$G$7:$G$166,"Ya",Selasa!$E$7:$E$166,"&lt;&gt;")+COUNTIFS(Rabu!$C$7:$C$206,$B44,Rabu!$G$7:$G$206,"Ya",Rabu!$E$7:$E$206,"&lt;&gt;")+COUNTIFS(Kamis!$C$7:$C$186,$B44,Kamis!$G$7:$G$186,"Ya",Kamis!$E$7:$E$186,"&lt;&gt;")+COUNTIFS(Jumat!$C$7:$C$186,$B44,Jumat!$G$7:$G$186,"Ya",Jumat!$E$7:$E$186,"&lt;&gt;")</f>
        <v>0</v>
      </c>
      <c r="D44" s="41">
        <f>COUNTIFS(Senin!$C$7:$C$146,$B44,Senin!$G$7:$G$146,"Ya",Senin!$E$7:$E$146,"")+COUNTIFS(Selasa!$C$7:$C$166,$B44,Selasa!$G$7:$G$166,"Ya",Selasa!$E$7:$E$166,"")+COUNTIFS(Rabu!$C$7:$C$206,$B44,Rabu!$G$7:$G$206,"Ya",Rabu!$E$7:$E$206,"")+COUNTIFS(Kamis!$C$7:$C$186,$B44,Kamis!$G$7:$G$186,"Ya",Kamis!$E$7:$E$186,"")+COUNTIFS(Jumat!$C$7:$C$186,$B44,Jumat!$G$7:$G$186,"Ya",Jumat!$E$7:$E$186,"")</f>
        <v>0</v>
      </c>
      <c r="E44" s="45">
        <f>SUMIFS(Senin!$H$7:$H$146,Senin!$C$7:$C$146,$B44,Senin!$A$7:$A$146,"&gt;="&amp;DATE(2026,8,1),Senin!$A$7:$A$146,"&lt;="&amp;DATE(2026,12,31))+SUMIFS(Selasa!$H$7:$H$166,Selasa!$C$7:$C$166,$B44,Selasa!$A$7:$A$166,"&gt;="&amp;DATE(2026,8,1),Selasa!$A$7:$A$166,"&lt;="&amp;DATE(2026,12,31))+SUMIFS(Rabu!$H$7:$H$206,Rabu!$C$7:$C$206,$B44,Rabu!$A$7:$A$206,"&gt;="&amp;DATE(2026,8,1),Rabu!$A$7:$A$206,"&lt;="&amp;DATE(2026,12,31))+SUMIFS(Kamis!$H$7:$H$186,Kamis!$C$7:$C$186,$B44,Kamis!$A$7:$A$186,"&gt;="&amp;DATE(2026,8,1),Kamis!$A$7:$A$186,"&lt;="&amp;DATE(2026,12,31))+SUMIFS(Jumat!$H$7:$H$186,Jumat!$C$7:$C$186,$B44,Jumat!$A$7:$A$186,"&gt;="&amp;DATE(2026,8,1),Jumat!$A$7:$A$186,"&lt;="&amp;DATE(2026,12,31))</f>
        <v>0</v>
      </c>
      <c r="F44" s="45">
        <f>SUMIFS(Senin!$H$7:$H$146,Senin!$C$7:$C$146,$B44,Senin!$A$7:$A$146,"&gt;="&amp;DATE(2026,8,1),Senin!$A$7:$A$146,"&lt;="&amp;DATE(2026,8,31))+SUMIFS(Selasa!$H$7:$H$166,Selasa!$C$7:$C$166,$B44,Selasa!$A$7:$A$166,"&gt;="&amp;DATE(2026,8,1),Selasa!$A$7:$A$166,"&lt;="&amp;DATE(2026,8,31))+SUMIFS(Rabu!$H$7:$H$206,Rabu!$C$7:$C$206,$B44,Rabu!$A$7:$A$206,"&gt;="&amp;DATE(2026,8,1),Rabu!$A$7:$A$206,"&lt;="&amp;DATE(2026,8,31))+SUMIFS(Kamis!$H$7:$H$186,Kamis!$C$7:$C$186,$B44,Kamis!$A$7:$A$186,"&gt;="&amp;DATE(2026,8,1),Kamis!$A$7:$A$186,"&lt;="&amp;DATE(2026,8,31))+SUMIFS(Jumat!$H$7:$H$186,Jumat!$C$7:$C$186,$B44,Jumat!$A$7:$A$186,"&gt;="&amp;DATE(2026,8,1),Jumat!$A$7:$A$186,"&lt;="&amp;DATE(2026,8,31))</f>
        <v>0</v>
      </c>
      <c r="G44" s="45">
        <f>SUMIFS(Senin!$H$7:$H$146,Senin!$C$7:$C$146,$B44,Senin!$A$7:$A$146,"&gt;="&amp;DATE(2026,9,1),Senin!$A$7:$A$146,"&lt;="&amp;DATE(2026,9,30))+SUMIFS(Selasa!$H$7:$H$166,Selasa!$C$7:$C$166,$B44,Selasa!$A$7:$A$166,"&gt;="&amp;DATE(2026,9,1),Selasa!$A$7:$A$166,"&lt;="&amp;DATE(2026,9,30))+SUMIFS(Rabu!$H$7:$H$206,Rabu!$C$7:$C$206,$B44,Rabu!$A$7:$A$206,"&gt;="&amp;DATE(2026,9,1),Rabu!$A$7:$A$206,"&lt;="&amp;DATE(2026,9,30))+SUMIFS(Kamis!$H$7:$H$186,Kamis!$C$7:$C$186,$B44,Kamis!$A$7:$A$186,"&gt;="&amp;DATE(2026,9,1),Kamis!$A$7:$A$186,"&lt;="&amp;DATE(2026,9,30))+SUMIFS(Jumat!$H$7:$H$186,Jumat!$C$7:$C$186,$B44,Jumat!$A$7:$A$186,"&gt;="&amp;DATE(2026,9,1),Jumat!$A$7:$A$186,"&lt;="&amp;DATE(2026,9,30))</f>
        <v>0</v>
      </c>
      <c r="H44" s="45">
        <f>SUMIFS(Senin!$H$7:$H$146,Senin!$C$7:$C$146,$B44,Senin!$A$7:$A$146,"&gt;="&amp;DATE(2026,10,1),Senin!$A$7:$A$146,"&lt;="&amp;DATE(2026,10,31))+SUMIFS(Selasa!$H$7:$H$166,Selasa!$C$7:$C$166,$B44,Selasa!$A$7:$A$166,"&gt;="&amp;DATE(2026,10,1),Selasa!$A$7:$A$166,"&lt;="&amp;DATE(2026,10,31))+SUMIFS(Rabu!$H$7:$H$206,Rabu!$C$7:$C$206,$B44,Rabu!$A$7:$A$206,"&gt;="&amp;DATE(2026,10,1),Rabu!$A$7:$A$206,"&lt;="&amp;DATE(2026,10,31))+SUMIFS(Kamis!$H$7:$H$186,Kamis!$C$7:$C$186,$B44,Kamis!$A$7:$A$186,"&gt;="&amp;DATE(2026,10,1),Kamis!$A$7:$A$186,"&lt;="&amp;DATE(2026,10,31))+SUMIFS(Jumat!$H$7:$H$186,Jumat!$C$7:$C$186,$B44,Jumat!$A$7:$A$186,"&gt;="&amp;DATE(2026,10,1),Jumat!$A$7:$A$186,"&lt;="&amp;DATE(2026,10,31))</f>
        <v>0</v>
      </c>
      <c r="I44" s="45">
        <f>SUMIFS(Senin!$H$7:$H$146,Senin!$C$7:$C$146,$B44,Senin!$A$7:$A$146,"&gt;="&amp;DATE(2026,11,1),Senin!$A$7:$A$146,"&lt;="&amp;DATE(2026,11,30))+SUMIFS(Selasa!$H$7:$H$166,Selasa!$C$7:$C$166,$B44,Selasa!$A$7:$A$166,"&gt;="&amp;DATE(2026,11,1),Selasa!$A$7:$A$166,"&lt;="&amp;DATE(2026,11,30))+SUMIFS(Rabu!$H$7:$H$206,Rabu!$C$7:$C$206,$B44,Rabu!$A$7:$A$206,"&gt;="&amp;DATE(2026,11,1),Rabu!$A$7:$A$206,"&lt;="&amp;DATE(2026,11,30))+SUMIFS(Kamis!$H$7:$H$186,Kamis!$C$7:$C$186,$B44,Kamis!$A$7:$A$186,"&gt;="&amp;DATE(2026,11,1),Kamis!$A$7:$A$186,"&lt;="&amp;DATE(2026,11,30))+SUMIFS(Jumat!$H$7:$H$186,Jumat!$C$7:$C$186,$B44,Jumat!$A$7:$A$186,"&gt;="&amp;DATE(2026,11,1),Jumat!$A$7:$A$186,"&lt;="&amp;DATE(2026,11,30))</f>
        <v>0</v>
      </c>
      <c r="J44" s="45">
        <f>SUMIFS(Senin!$H$7:$H$146,Senin!$C$7:$C$146,$B44,Senin!$A$7:$A$146,"&gt;="&amp;DATE(2026,12,1),Senin!$A$7:$A$146,"&lt;="&amp;DATE(2026,12,31))+SUMIFS(Selasa!$H$7:$H$166,Selasa!$C$7:$C$166,$B44,Selasa!$A$7:$A$166,"&gt;="&amp;DATE(2026,12,1),Selasa!$A$7:$A$166,"&lt;="&amp;DATE(2026,12,31))+SUMIFS(Rabu!$H$7:$H$206,Rabu!$C$7:$C$206,$B44,Rabu!$A$7:$A$206,"&gt;="&amp;DATE(2026,12,1),Rabu!$A$7:$A$206,"&lt;="&amp;DATE(2026,12,31))+SUMIFS(Kamis!$H$7:$H$186,Kamis!$C$7:$C$186,$B44,Kamis!$A$7:$A$186,"&gt;="&amp;DATE(2026,12,1),Kamis!$A$7:$A$186,"&lt;="&amp;DATE(2026,12,31))+SUMIFS(Jumat!$H$7:$H$186,Jumat!$C$7:$C$186,$B44,Jumat!$A$7:$A$186,"&gt;="&amp;DATE(2026,12,1),Jumat!$A$7:$A$186,"&lt;="&amp;DATE(2026,12,31))</f>
        <v>0</v>
      </c>
      <c r="K44" s="45">
        <f>SUMIFS(Senin!$H$7:$H$146,Senin!$C$7:$C$146,$B44,Senin!$A$7:$A$146,"&gt;="&amp;DATE(2026,8,31),Senin!$A$7:$A$146,"&lt;="&amp;DATE(2026,9,6))+SUMIFS(Selasa!$H$7:$H$166,Selasa!$C$7:$C$166,$B44,Selasa!$A$7:$A$166,"&gt;="&amp;DATE(2026,8,31),Selasa!$A$7:$A$166,"&lt;="&amp;DATE(2026,9,6))+SUMIFS(Rabu!$H$7:$H$206,Rabu!$C$7:$C$206,$B44,Rabu!$A$7:$A$206,"&gt;="&amp;DATE(2026,8,31),Rabu!$A$7:$A$206,"&lt;="&amp;DATE(2026,9,6))+SUMIFS(Kamis!$H$7:$H$186,Kamis!$C$7:$C$186,$B44,Kamis!$A$7:$A$186,"&gt;="&amp;DATE(2026,8,31),Kamis!$A$7:$A$186,"&lt;="&amp;DATE(2026,9,6))+SUMIFS(Jumat!$H$7:$H$186,Jumat!$C$7:$C$186,$B44,Jumat!$A$7:$A$186,"&gt;="&amp;DATE(2026,8,31),Jumat!$A$7:$A$186,"&lt;="&amp;DATE(2026,9,6))</f>
        <v>0</v>
      </c>
      <c r="L44" s="45">
        <f>SUMIFS(Senin!$H$7:$H$146,Senin!$C$7:$C$146,$B44,Senin!$A$7:$A$146,"&gt;="&amp;DATE(2026,9,7),Senin!$A$7:$A$146,"&lt;="&amp;DATE(2026,9,13))+SUMIFS(Selasa!$H$7:$H$166,Selasa!$C$7:$C$166,$B44,Selasa!$A$7:$A$166,"&gt;="&amp;DATE(2026,9,7),Selasa!$A$7:$A$166,"&lt;="&amp;DATE(2026,9,13))+SUMIFS(Rabu!$H$7:$H$206,Rabu!$C$7:$C$206,$B44,Rabu!$A$7:$A$206,"&gt;="&amp;DATE(2026,9,7),Rabu!$A$7:$A$206,"&lt;="&amp;DATE(2026,9,13))+SUMIFS(Kamis!$H$7:$H$186,Kamis!$C$7:$C$186,$B44,Kamis!$A$7:$A$186,"&gt;="&amp;DATE(2026,9,7),Kamis!$A$7:$A$186,"&lt;="&amp;DATE(2026,9,13))+SUMIFS(Jumat!$H$7:$H$186,Jumat!$C$7:$C$186,$B44,Jumat!$A$7:$A$186,"&gt;="&amp;DATE(2026,9,7),Jumat!$A$7:$A$186,"&lt;="&amp;DATE(2026,9,13))</f>
        <v>0</v>
      </c>
      <c r="M44" s="45">
        <f>SUMIFS(Senin!$H$7:$H$146,Senin!$C$7:$C$146,$B44,Senin!$A$7:$A$146,"&gt;="&amp;DATE(2026,9,14),Senin!$A$7:$A$146,"&lt;="&amp;DATE(2026,9,20))+SUMIFS(Selasa!$H$7:$H$166,Selasa!$C$7:$C$166,$B44,Selasa!$A$7:$A$166,"&gt;="&amp;DATE(2026,9,14),Selasa!$A$7:$A$166,"&lt;="&amp;DATE(2026,9,20))+SUMIFS(Rabu!$H$7:$H$206,Rabu!$C$7:$C$206,$B44,Rabu!$A$7:$A$206,"&gt;="&amp;DATE(2026,9,14),Rabu!$A$7:$A$206,"&lt;="&amp;DATE(2026,9,20))+SUMIFS(Kamis!$H$7:$H$186,Kamis!$C$7:$C$186,$B44,Kamis!$A$7:$A$186,"&gt;="&amp;DATE(2026,9,14),Kamis!$A$7:$A$186,"&lt;="&amp;DATE(2026,9,20))+SUMIFS(Jumat!$H$7:$H$186,Jumat!$C$7:$C$186,$B44,Jumat!$A$7:$A$186,"&gt;="&amp;DATE(2026,9,14),Jumat!$A$7:$A$186,"&lt;="&amp;DATE(2026,9,20))</f>
        <v>0</v>
      </c>
      <c r="N44" s="45">
        <f>SUMIFS(Senin!$H$7:$H$146,Senin!$C$7:$C$146,$B44,Senin!$A$7:$A$146,"&gt;="&amp;DATE(2026,9,21),Senin!$A$7:$A$146,"&lt;="&amp;DATE(2026,9,27))+SUMIFS(Selasa!$H$7:$H$166,Selasa!$C$7:$C$166,$B44,Selasa!$A$7:$A$166,"&gt;="&amp;DATE(2026,9,21),Selasa!$A$7:$A$166,"&lt;="&amp;DATE(2026,9,27))+SUMIFS(Rabu!$H$7:$H$206,Rabu!$C$7:$C$206,$B44,Rabu!$A$7:$A$206,"&gt;="&amp;DATE(2026,9,21),Rabu!$A$7:$A$206,"&lt;="&amp;DATE(2026,9,27))+SUMIFS(Kamis!$H$7:$H$186,Kamis!$C$7:$C$186,$B44,Kamis!$A$7:$A$186,"&gt;="&amp;DATE(2026,9,21),Kamis!$A$7:$A$186,"&lt;="&amp;DATE(2026,9,27))+SUMIFS(Jumat!$H$7:$H$186,Jumat!$C$7:$C$186,$B44,Jumat!$A$7:$A$186,"&gt;="&amp;DATE(2026,9,21),Jumat!$A$7:$A$186,"&lt;="&amp;DATE(2026,9,27))</f>
        <v>0</v>
      </c>
      <c r="O44" s="45">
        <f>SUMIFS(Senin!$H$7:$H$146,Senin!$C$7:$C$146,$B44,Senin!$A$7:$A$146,"&gt;="&amp;DATE(2026,9,28),Senin!$A$7:$A$146,"&lt;="&amp;DATE(2026,10,4))+SUMIFS(Selasa!$H$7:$H$166,Selasa!$C$7:$C$166,$B44,Selasa!$A$7:$A$166,"&gt;="&amp;DATE(2026,9,28),Selasa!$A$7:$A$166,"&lt;="&amp;DATE(2026,10,4))+SUMIFS(Rabu!$H$7:$H$206,Rabu!$C$7:$C$206,$B44,Rabu!$A$7:$A$206,"&gt;="&amp;DATE(2026,9,28),Rabu!$A$7:$A$206,"&lt;="&amp;DATE(2026,10,4))+SUMIFS(Kamis!$H$7:$H$186,Kamis!$C$7:$C$186,$B44,Kamis!$A$7:$A$186,"&gt;="&amp;DATE(2026,9,28),Kamis!$A$7:$A$186,"&lt;="&amp;DATE(2026,10,4))+SUMIFS(Jumat!$H$7:$H$186,Jumat!$C$7:$C$186,$B44,Jumat!$A$7:$A$186,"&gt;="&amp;DATE(2026,9,28),Jumat!$A$7:$A$186,"&lt;="&amp;DATE(2026,10,4))</f>
        <v>0</v>
      </c>
      <c r="P44" s="45">
        <f>SUMIFS(Senin!$H$7:$H$146,Senin!$C$7:$C$146,$B44,Senin!$A$7:$A$146,"&gt;="&amp;DATE(2026,10,5),Senin!$A$7:$A$146,"&lt;="&amp;DATE(2026,10,11))+SUMIFS(Selasa!$H$7:$H$166,Selasa!$C$7:$C$166,$B44,Selasa!$A$7:$A$166,"&gt;="&amp;DATE(2026,10,5),Selasa!$A$7:$A$166,"&lt;="&amp;DATE(2026,10,11))+SUMIFS(Rabu!$H$7:$H$206,Rabu!$C$7:$C$206,$B44,Rabu!$A$7:$A$206,"&gt;="&amp;DATE(2026,10,5),Rabu!$A$7:$A$206,"&lt;="&amp;DATE(2026,10,11))+SUMIFS(Kamis!$H$7:$H$186,Kamis!$C$7:$C$186,$B44,Kamis!$A$7:$A$186,"&gt;="&amp;DATE(2026,10,5),Kamis!$A$7:$A$186,"&lt;="&amp;DATE(2026,10,11))+SUMIFS(Jumat!$H$7:$H$186,Jumat!$C$7:$C$186,$B44,Jumat!$A$7:$A$186,"&gt;="&amp;DATE(2026,10,5),Jumat!$A$7:$A$186,"&lt;="&amp;DATE(2026,10,11))</f>
        <v>0</v>
      </c>
      <c r="Q44" s="45">
        <f>SUMIFS(Senin!$H$7:$H$146,Senin!$C$7:$C$146,$B44,Senin!$A$7:$A$146,"&gt;="&amp;DATE(2026,10,12),Senin!$A$7:$A$146,"&lt;="&amp;DATE(2026,10,18))+SUMIFS(Selasa!$H$7:$H$166,Selasa!$C$7:$C$166,$B44,Selasa!$A$7:$A$166,"&gt;="&amp;DATE(2026,10,12),Selasa!$A$7:$A$166,"&lt;="&amp;DATE(2026,10,18))+SUMIFS(Rabu!$H$7:$H$206,Rabu!$C$7:$C$206,$B44,Rabu!$A$7:$A$206,"&gt;="&amp;DATE(2026,10,12),Rabu!$A$7:$A$206,"&lt;="&amp;DATE(2026,10,18))+SUMIFS(Kamis!$H$7:$H$186,Kamis!$C$7:$C$186,$B44,Kamis!$A$7:$A$186,"&gt;="&amp;DATE(2026,10,12),Kamis!$A$7:$A$186,"&lt;="&amp;DATE(2026,10,18))+SUMIFS(Jumat!$H$7:$H$186,Jumat!$C$7:$C$186,$B44,Jumat!$A$7:$A$186,"&gt;="&amp;DATE(2026,10,12),Jumat!$A$7:$A$186,"&lt;="&amp;DATE(2026,10,18))</f>
        <v>0</v>
      </c>
      <c r="R44" s="45">
        <f>SUMIFS(Senin!$H$7:$H$146,Senin!$C$7:$C$146,$B44,Senin!$A$7:$A$146,"&gt;="&amp;DATE(2026,10,19),Senin!$A$7:$A$146,"&lt;="&amp;DATE(2026,10,25))+SUMIFS(Selasa!$H$7:$H$166,Selasa!$C$7:$C$166,$B44,Selasa!$A$7:$A$166,"&gt;="&amp;DATE(2026,10,19),Selasa!$A$7:$A$166,"&lt;="&amp;DATE(2026,10,25))+SUMIFS(Rabu!$H$7:$H$206,Rabu!$C$7:$C$206,$B44,Rabu!$A$7:$A$206,"&gt;="&amp;DATE(2026,10,19),Rabu!$A$7:$A$206,"&lt;="&amp;DATE(2026,10,25))+SUMIFS(Kamis!$H$7:$H$186,Kamis!$C$7:$C$186,$B44,Kamis!$A$7:$A$186,"&gt;="&amp;DATE(2026,10,19),Kamis!$A$7:$A$186,"&lt;="&amp;DATE(2026,10,25))+SUMIFS(Jumat!$H$7:$H$186,Jumat!$C$7:$C$186,$B44,Jumat!$A$7:$A$186,"&gt;="&amp;DATE(2026,10,19),Jumat!$A$7:$A$186,"&lt;="&amp;DATE(2026,10,25))</f>
        <v>0</v>
      </c>
      <c r="S44" s="45">
        <f>SUMIFS(Senin!$H$7:$H$146,Senin!$C$7:$C$146,$B44,Senin!$A$7:$A$146,"&gt;="&amp;DATE(2026,10,26),Senin!$A$7:$A$146,"&lt;="&amp;DATE(2026,11,1))+SUMIFS(Selasa!$H$7:$H$166,Selasa!$C$7:$C$166,$B44,Selasa!$A$7:$A$166,"&gt;="&amp;DATE(2026,10,26),Selasa!$A$7:$A$166,"&lt;="&amp;DATE(2026,11,1))+SUMIFS(Rabu!$H$7:$H$206,Rabu!$C$7:$C$206,$B44,Rabu!$A$7:$A$206,"&gt;="&amp;DATE(2026,10,26),Rabu!$A$7:$A$206,"&lt;="&amp;DATE(2026,11,1))+SUMIFS(Kamis!$H$7:$H$186,Kamis!$C$7:$C$186,$B44,Kamis!$A$7:$A$186,"&gt;="&amp;DATE(2026,10,26),Kamis!$A$7:$A$186,"&lt;="&amp;DATE(2026,11,1))+SUMIFS(Jumat!$H$7:$H$186,Jumat!$C$7:$C$186,$B44,Jumat!$A$7:$A$186,"&gt;="&amp;DATE(2026,10,26),Jumat!$A$7:$A$186,"&lt;="&amp;DATE(2026,11,1))</f>
        <v>0</v>
      </c>
      <c r="T44" s="45">
        <f>SUMIFS(Senin!$H$7:$H$146,Senin!$C$7:$C$146,$B44,Senin!$A$7:$A$146,"&gt;="&amp;DATE(2026,11,2),Senin!$A$7:$A$146,"&lt;="&amp;DATE(2026,11,8))+SUMIFS(Selasa!$H$7:$H$166,Selasa!$C$7:$C$166,$B44,Selasa!$A$7:$A$166,"&gt;="&amp;DATE(2026,11,2),Selasa!$A$7:$A$166,"&lt;="&amp;DATE(2026,11,8))+SUMIFS(Rabu!$H$7:$H$206,Rabu!$C$7:$C$206,$B44,Rabu!$A$7:$A$206,"&gt;="&amp;DATE(2026,11,2),Rabu!$A$7:$A$206,"&lt;="&amp;DATE(2026,11,8))+SUMIFS(Kamis!$H$7:$H$186,Kamis!$C$7:$C$186,$B44,Kamis!$A$7:$A$186,"&gt;="&amp;DATE(2026,11,2),Kamis!$A$7:$A$186,"&lt;="&amp;DATE(2026,11,8))+SUMIFS(Jumat!$H$7:$H$186,Jumat!$C$7:$C$186,$B44,Jumat!$A$7:$A$186,"&gt;="&amp;DATE(2026,11,2),Jumat!$A$7:$A$186,"&lt;="&amp;DATE(2026,11,8))</f>
        <v>0</v>
      </c>
      <c r="U44" s="45">
        <f>SUMIFS(Senin!$H$7:$H$146,Senin!$C$7:$C$146,$B44,Senin!$A$7:$A$146,"&gt;="&amp;DATE(2026,11,9),Senin!$A$7:$A$146,"&lt;="&amp;DATE(2026,11,15))+SUMIFS(Selasa!$H$7:$H$166,Selasa!$C$7:$C$166,$B44,Selasa!$A$7:$A$166,"&gt;="&amp;DATE(2026,11,9),Selasa!$A$7:$A$166,"&lt;="&amp;DATE(2026,11,15))+SUMIFS(Rabu!$H$7:$H$206,Rabu!$C$7:$C$206,$B44,Rabu!$A$7:$A$206,"&gt;="&amp;DATE(2026,11,9),Rabu!$A$7:$A$206,"&lt;="&amp;DATE(2026,11,15))+SUMIFS(Kamis!$H$7:$H$186,Kamis!$C$7:$C$186,$B44,Kamis!$A$7:$A$186,"&gt;="&amp;DATE(2026,11,9),Kamis!$A$7:$A$186,"&lt;="&amp;DATE(2026,11,15))+SUMIFS(Jumat!$H$7:$H$186,Jumat!$C$7:$C$186,$B44,Jumat!$A$7:$A$186,"&gt;="&amp;DATE(2026,11,9),Jumat!$A$7:$A$186,"&lt;="&amp;DATE(2026,11,15))</f>
        <v>0</v>
      </c>
      <c r="V44" s="45">
        <f>SUMIFS(Senin!$H$7:$H$146,Senin!$C$7:$C$146,$B44,Senin!$A$7:$A$146,"&gt;="&amp;DATE(2026,11,16),Senin!$A$7:$A$146,"&lt;="&amp;DATE(2026,11,22))+SUMIFS(Selasa!$H$7:$H$166,Selasa!$C$7:$C$166,$B44,Selasa!$A$7:$A$166,"&gt;="&amp;DATE(2026,11,16),Selasa!$A$7:$A$166,"&lt;="&amp;DATE(2026,11,22))+SUMIFS(Rabu!$H$7:$H$206,Rabu!$C$7:$C$206,$B44,Rabu!$A$7:$A$206,"&gt;="&amp;DATE(2026,11,16),Rabu!$A$7:$A$206,"&lt;="&amp;DATE(2026,11,22))+SUMIFS(Kamis!$H$7:$H$186,Kamis!$C$7:$C$186,$B44,Kamis!$A$7:$A$186,"&gt;="&amp;DATE(2026,11,16),Kamis!$A$7:$A$186,"&lt;="&amp;DATE(2026,11,22))+SUMIFS(Jumat!$H$7:$H$186,Jumat!$C$7:$C$186,$B44,Jumat!$A$7:$A$186,"&gt;="&amp;DATE(2026,11,16),Jumat!$A$7:$A$186,"&lt;="&amp;DATE(2026,11,22))</f>
        <v>0</v>
      </c>
      <c r="W44" s="45">
        <f>SUMIFS(Senin!$H$7:$H$146,Senin!$C$7:$C$146,$B44,Senin!$A$7:$A$146,"&gt;="&amp;DATE(2026,11,23),Senin!$A$7:$A$146,"&lt;="&amp;DATE(2026,11,29))+SUMIFS(Selasa!$H$7:$H$166,Selasa!$C$7:$C$166,$B44,Selasa!$A$7:$A$166,"&gt;="&amp;DATE(2026,11,23),Selasa!$A$7:$A$166,"&lt;="&amp;DATE(2026,11,29))+SUMIFS(Rabu!$H$7:$H$206,Rabu!$C$7:$C$206,$B44,Rabu!$A$7:$A$206,"&gt;="&amp;DATE(2026,11,23),Rabu!$A$7:$A$206,"&lt;="&amp;DATE(2026,11,29))+SUMIFS(Kamis!$H$7:$H$186,Kamis!$C$7:$C$186,$B44,Kamis!$A$7:$A$186,"&gt;="&amp;DATE(2026,11,23),Kamis!$A$7:$A$186,"&lt;="&amp;DATE(2026,11,29))+SUMIFS(Jumat!$H$7:$H$186,Jumat!$C$7:$C$186,$B44,Jumat!$A$7:$A$186,"&gt;="&amp;DATE(2026,11,23),Jumat!$A$7:$A$186,"&lt;="&amp;DATE(2026,11,29))</f>
        <v>0</v>
      </c>
      <c r="X44" s="45">
        <f>SUMIFS(Senin!$H$7:$H$146,Senin!$C$7:$C$146,$B44,Senin!$A$7:$A$146,"&gt;="&amp;DATE(2026,11,30),Senin!$A$7:$A$146,"&lt;="&amp;DATE(2026,12,6))+SUMIFS(Selasa!$H$7:$H$166,Selasa!$C$7:$C$166,$B44,Selasa!$A$7:$A$166,"&gt;="&amp;DATE(2026,11,30),Selasa!$A$7:$A$166,"&lt;="&amp;DATE(2026,12,6))+SUMIFS(Rabu!$H$7:$H$206,Rabu!$C$7:$C$206,$B44,Rabu!$A$7:$A$206,"&gt;="&amp;DATE(2026,11,30),Rabu!$A$7:$A$206,"&lt;="&amp;DATE(2026,12,6))+SUMIFS(Kamis!$H$7:$H$186,Kamis!$C$7:$C$186,$B44,Kamis!$A$7:$A$186,"&gt;="&amp;DATE(2026,11,30),Kamis!$A$7:$A$186,"&lt;="&amp;DATE(2026,12,6))+SUMIFS(Jumat!$H$7:$H$186,Jumat!$C$7:$C$186,$B44,Jumat!$A$7:$A$186,"&gt;="&amp;DATE(2026,11,30),Jumat!$A$7:$A$186,"&lt;="&amp;DATE(2026,12,6))</f>
        <v>0</v>
      </c>
      <c r="Y44" s="45">
        <f>SUMIFS(Senin!$H$7:$H$146,Senin!$C$7:$C$146,$B44,Senin!$A$7:$A$146,"&gt;="&amp;DATE(2026,12,7),Senin!$A$7:$A$146,"&lt;="&amp;DATE(2026,12,13))+SUMIFS(Selasa!$H$7:$H$166,Selasa!$C$7:$C$166,$B44,Selasa!$A$7:$A$166,"&gt;="&amp;DATE(2026,12,7),Selasa!$A$7:$A$166,"&lt;="&amp;DATE(2026,12,13))+SUMIFS(Rabu!$H$7:$H$206,Rabu!$C$7:$C$206,$B44,Rabu!$A$7:$A$206,"&gt;="&amp;DATE(2026,12,7),Rabu!$A$7:$A$206,"&lt;="&amp;DATE(2026,12,13))+SUMIFS(Kamis!$H$7:$H$186,Kamis!$C$7:$C$186,$B44,Kamis!$A$7:$A$186,"&gt;="&amp;DATE(2026,12,7),Kamis!$A$7:$A$186,"&lt;="&amp;DATE(2026,12,13))+SUMIFS(Jumat!$H$7:$H$186,Jumat!$C$7:$C$186,$B44,Jumat!$A$7:$A$186,"&gt;="&amp;DATE(2026,12,7),Jumat!$A$7:$A$186,"&lt;="&amp;DATE(2026,12,13))</f>
        <v>0</v>
      </c>
      <c r="Z44" s="45">
        <f>SUMIFS(Senin!$H$7:$H$146,Senin!$C$7:$C$146,$B44,Senin!$A$7:$A$146,"&gt;="&amp;DATE(2026,12,14),Senin!$A$7:$A$146,"&lt;="&amp;DATE(2026,12,20))+SUMIFS(Selasa!$H$7:$H$166,Selasa!$C$7:$C$166,$B44,Selasa!$A$7:$A$166,"&gt;="&amp;DATE(2026,12,14),Selasa!$A$7:$A$166,"&lt;="&amp;DATE(2026,12,20))+SUMIFS(Rabu!$H$7:$H$206,Rabu!$C$7:$C$206,$B44,Rabu!$A$7:$A$206,"&gt;="&amp;DATE(2026,12,14),Rabu!$A$7:$A$206,"&lt;="&amp;DATE(2026,12,20))+SUMIFS(Kamis!$H$7:$H$186,Kamis!$C$7:$C$186,$B44,Kamis!$A$7:$A$186,"&gt;="&amp;DATE(2026,12,14),Kamis!$A$7:$A$186,"&lt;="&amp;DATE(2026,12,20))+SUMIFS(Jumat!$H$7:$H$186,Jumat!$C$7:$C$186,$B44,Jumat!$A$7:$A$186,"&gt;="&amp;DATE(2026,12,14),Jumat!$A$7:$A$186,"&lt;="&amp;DATE(2026,12,20))</f>
        <v>0</v>
      </c>
      <c r="AA44" s="45">
        <f>SUMIFS(Senin!$H$7:$H$146,Senin!$C$7:$C$146,$B44,Senin!$A$7:$A$146,"&gt;="&amp;DATE(2026,12,21),Senin!$A$7:$A$146,"&lt;="&amp;DATE(2026,12,27))+SUMIFS(Selasa!$H$7:$H$166,Selasa!$C$7:$C$166,$B44,Selasa!$A$7:$A$166,"&gt;="&amp;DATE(2026,12,21),Selasa!$A$7:$A$166,"&lt;="&amp;DATE(2026,12,27))+SUMIFS(Rabu!$H$7:$H$206,Rabu!$C$7:$C$206,$B44,Rabu!$A$7:$A$206,"&gt;="&amp;DATE(2026,12,21),Rabu!$A$7:$A$206,"&lt;="&amp;DATE(2026,12,27))+SUMIFS(Kamis!$H$7:$H$186,Kamis!$C$7:$C$186,$B44,Kamis!$A$7:$A$186,"&gt;="&amp;DATE(2026,12,21),Kamis!$A$7:$A$186,"&lt;="&amp;DATE(2026,12,27))+SUMIFS(Jumat!$H$7:$H$186,Jumat!$C$7:$C$186,$B44,Jumat!$A$7:$A$186,"&gt;="&amp;DATE(2026,12,21),Jumat!$A$7:$A$186,"&lt;="&amp;DATE(2026,12,27))</f>
        <v>0</v>
      </c>
      <c r="AB44" s="45">
        <f>SUMIFS(Senin!$H$7:$H$146,Senin!$C$7:$C$146,$B44,Senin!$A$7:$A$146,"&gt;="&amp;DATE(2026,12,28),Senin!$A$7:$A$146,"&lt;="&amp;DATE(2027,1,3))+SUMIFS(Selasa!$H$7:$H$166,Selasa!$C$7:$C$166,$B44,Selasa!$A$7:$A$166,"&gt;="&amp;DATE(2026,12,28),Selasa!$A$7:$A$166,"&lt;="&amp;DATE(2027,1,3))+SUMIFS(Rabu!$H$7:$H$206,Rabu!$C$7:$C$206,$B44,Rabu!$A$7:$A$206,"&gt;="&amp;DATE(2026,12,28),Rabu!$A$7:$A$206,"&lt;="&amp;DATE(2027,1,3))+SUMIFS(Kamis!$H$7:$H$186,Kamis!$C$7:$C$186,$B44,Kamis!$A$7:$A$186,"&gt;="&amp;DATE(2026,12,28),Kamis!$A$7:$A$186,"&lt;="&amp;DATE(2027,1,3))+SUMIFS(Jumat!$H$7:$H$186,Jumat!$C$7:$C$186,$B44,Jumat!$A$7:$A$186,"&gt;="&amp;DATE(2026,12,28),Jumat!$A$7:$A$186,"&lt;="&amp;DATE(2027,1,3))</f>
        <v>0</v>
      </c>
      <c r="AC44" s="45">
        <f>SUMIFS(Senin!$H$7:$H$146,Senin!$C$7:$C$146,$B44,Senin!$A$7:$A$146,"&gt;="&amp;DATE(2027,1,4),Senin!$A$7:$A$146,"&lt;="&amp;DATE(2027,1,10))+SUMIFS(Selasa!$H$7:$H$166,Selasa!$C$7:$C$166,$B44,Selasa!$A$7:$A$166,"&gt;="&amp;DATE(2027,1,4),Selasa!$A$7:$A$166,"&lt;="&amp;DATE(2027,1,10))+SUMIFS(Rabu!$H$7:$H$206,Rabu!$C$7:$C$206,$B44,Rabu!$A$7:$A$206,"&gt;="&amp;DATE(2027,1,4),Rabu!$A$7:$A$206,"&lt;="&amp;DATE(2027,1,10))+SUMIFS(Kamis!$H$7:$H$186,Kamis!$C$7:$C$186,$B44,Kamis!$A$7:$A$186,"&gt;="&amp;DATE(2027,1,4),Kamis!$A$7:$A$186,"&lt;="&amp;DATE(2027,1,10))+SUMIFS(Jumat!$H$7:$H$186,Jumat!$C$7:$C$186,$B44,Jumat!$A$7:$A$186,"&gt;="&amp;DATE(2027,1,4),Jumat!$A$7:$A$186,"&lt;="&amp;DATE(2027,1,10))</f>
        <v>0</v>
      </c>
      <c r="AD44" s="45">
        <f>SUMIFS(Senin!$H$7:$H$146,Senin!$C$7:$C$146,$B44,Senin!$A$7:$A$146,"&gt;="&amp;DATE(2027,1,11),Senin!$A$7:$A$146,"&lt;="&amp;DATE(2027,1,17))+SUMIFS(Selasa!$H$7:$H$166,Selasa!$C$7:$C$166,$B44,Selasa!$A$7:$A$166,"&gt;="&amp;DATE(2027,1,11),Selasa!$A$7:$A$166,"&lt;="&amp;DATE(2027,1,17))+SUMIFS(Rabu!$H$7:$H$206,Rabu!$C$7:$C$206,$B44,Rabu!$A$7:$A$206,"&gt;="&amp;DATE(2027,1,11),Rabu!$A$7:$A$206,"&lt;="&amp;DATE(2027,1,17))+SUMIFS(Kamis!$H$7:$H$186,Kamis!$C$7:$C$186,$B44,Kamis!$A$7:$A$186,"&gt;="&amp;DATE(2027,1,11),Kamis!$A$7:$A$186,"&lt;="&amp;DATE(2027,1,17))+SUMIFS(Jumat!$H$7:$H$186,Jumat!$C$7:$C$186,$B44,Jumat!$A$7:$A$186,"&gt;="&amp;DATE(2027,1,11),Jumat!$A$7:$A$186,"&lt;="&amp;DATE(2027,1,17)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C2:E2"/>
    <mergeCell ref="F2:J2"/>
    <mergeCell ref="K2:AD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86"/>
    <col customWidth="1" min="2" max="2" width="11.71"/>
    <col customWidth="1" min="3" max="3" width="29.57"/>
    <col customWidth="1" min="4" max="4" width="15.43"/>
    <col customWidth="1" min="5" max="5" width="21.0"/>
    <col customWidth="1" min="6" max="6" width="24.14"/>
    <col customWidth="1" min="7" max="7" width="18.0"/>
    <col customWidth="1" min="8" max="8" width="16.43"/>
    <col customWidth="1" min="9" max="9" width="22.0"/>
  </cols>
  <sheetData>
    <row r="1" ht="18.0" customHeight="1">
      <c r="A1" s="5" t="s">
        <v>62</v>
      </c>
      <c r="B1" s="6"/>
      <c r="C1" s="6"/>
      <c r="D1" s="6"/>
      <c r="E1" s="6"/>
      <c r="F1" s="6"/>
      <c r="G1" s="6"/>
      <c r="H1" s="7"/>
    </row>
    <row r="2" ht="14.25" customHeight="1">
      <c r="A2" s="24" t="s">
        <v>74</v>
      </c>
    </row>
    <row r="3" ht="14.25" customHeight="1">
      <c r="A3" s="25" t="s">
        <v>84</v>
      </c>
      <c r="B3" s="26" t="s">
        <v>93</v>
      </c>
    </row>
    <row r="4" ht="14.25" customHeight="1">
      <c r="A4" s="25" t="s">
        <v>95</v>
      </c>
      <c r="B4" s="26" t="s">
        <v>96</v>
      </c>
    </row>
    <row r="6" ht="36.0" customHeight="1">
      <c r="A6" s="33" t="s">
        <v>97</v>
      </c>
      <c r="B6" s="33" t="s">
        <v>102</v>
      </c>
      <c r="C6" s="33" t="s">
        <v>8</v>
      </c>
      <c r="D6" s="33" t="s">
        <v>103</v>
      </c>
      <c r="E6" s="33" t="s">
        <v>104</v>
      </c>
      <c r="F6" s="33" t="s">
        <v>105</v>
      </c>
      <c r="G6" s="33" t="s">
        <v>106</v>
      </c>
      <c r="H6" s="33" t="s">
        <v>108</v>
      </c>
      <c r="I6" s="37" t="s">
        <v>109</v>
      </c>
    </row>
    <row r="7" ht="22.5" customHeight="1">
      <c r="A7" s="38">
        <v>46265.0</v>
      </c>
      <c r="B7" s="39" t="s">
        <v>110</v>
      </c>
      <c r="C7" s="40" t="s">
        <v>48</v>
      </c>
      <c r="D7" s="42" t="s">
        <v>111</v>
      </c>
      <c r="E7" s="43"/>
      <c r="F7" s="42" t="s">
        <v>112</v>
      </c>
      <c r="G7" s="44" t="str">
        <f t="shared" ref="G7:G146" si="1">IF($F7="Ya","Tidak",IF($D7="Tidak Hadir","Ya",IF($D7="","",IF($E7="",IF(NOW()&gt;$A7+IF($B7="Pagi",TIME(12,30,0),TIME(15,0,0)),"Ya",""),IF(IF(OR($C7="Alya Dwi Nurmiyati",$C7="Bagas Aryo Wicaksono",$C7="Dastin Rangga Berani",$C7="Fadhil Rusydi Hafizh",$C7="Febinadia Salsabila",$C7="Gusti Agung Ayu Savithri Nirmalasari",$C7="Maria Ellora Damarkasih",$C7="Mohammad Aqsha Dwinovryan",$C7="Najwa Aulia Putri",$C7="Reksa Utami",$C7="Surya Winaldi Yakin",$C7="Yossi Tri Rahmanda"),$E7&gt;IF($B7="Pagi",TIME(10,15,0),TIME(12,45,0)),$E7&gt;IF($B7="Pagi",TIME(10,30,0),TIME(13,0,0))),"Ya","Tidak")))))</f>
        <v>Tidak</v>
      </c>
      <c r="H7" s="46">
        <f t="shared" ref="H7:H146" si="2">IF($F7="Ya",0,IF($G7="Ya",IF($D7="Tidak Hadir",10000,IF($E7="",10000,5000)),0))</f>
        <v>0</v>
      </c>
      <c r="I7" s="47"/>
    </row>
    <row r="8" ht="22.5" customHeight="1">
      <c r="A8" s="38">
        <v>46265.0</v>
      </c>
      <c r="B8" s="39" t="s">
        <v>110</v>
      </c>
      <c r="C8" s="40" t="s">
        <v>13</v>
      </c>
      <c r="D8" s="42" t="s">
        <v>114</v>
      </c>
      <c r="E8" s="43">
        <v>0.4166666666666667</v>
      </c>
      <c r="F8" s="49"/>
      <c r="G8" s="44" t="str">
        <f t="shared" si="1"/>
        <v>Tidak</v>
      </c>
      <c r="H8" s="46">
        <f t="shared" si="2"/>
        <v>0</v>
      </c>
      <c r="I8" s="47"/>
    </row>
    <row r="9" ht="22.5" customHeight="1">
      <c r="A9" s="38">
        <v>46265.0</v>
      </c>
      <c r="B9" s="39" t="s">
        <v>110</v>
      </c>
      <c r="C9" s="40" t="s">
        <v>10</v>
      </c>
      <c r="D9" s="42" t="s">
        <v>114</v>
      </c>
      <c r="E9" s="43">
        <v>0.4270833333333333</v>
      </c>
      <c r="F9" s="42" t="s">
        <v>112</v>
      </c>
      <c r="G9" s="44" t="str">
        <f t="shared" si="1"/>
        <v>Tidak</v>
      </c>
      <c r="H9" s="46">
        <f t="shared" si="2"/>
        <v>0</v>
      </c>
      <c r="I9" s="47"/>
    </row>
    <row r="10" ht="22.5" customHeight="1">
      <c r="A10" s="51">
        <v>46265.0</v>
      </c>
      <c r="B10" s="52" t="s">
        <v>117</v>
      </c>
      <c r="C10" s="40" t="s">
        <v>58</v>
      </c>
      <c r="D10" s="42" t="s">
        <v>111</v>
      </c>
      <c r="E10" s="53"/>
      <c r="F10" s="42" t="s">
        <v>112</v>
      </c>
      <c r="G10" s="44" t="str">
        <f t="shared" si="1"/>
        <v>Tidak</v>
      </c>
      <c r="H10" s="46">
        <f t="shared" si="2"/>
        <v>0</v>
      </c>
      <c r="I10" s="47"/>
    </row>
    <row r="11" ht="22.5" customHeight="1">
      <c r="A11" s="51">
        <v>46265.0</v>
      </c>
      <c r="B11" s="52" t="s">
        <v>117</v>
      </c>
      <c r="C11" s="40" t="s">
        <v>23</v>
      </c>
      <c r="D11" s="42" t="s">
        <v>114</v>
      </c>
      <c r="E11" s="43">
        <v>0.46875</v>
      </c>
      <c r="F11" s="49"/>
      <c r="G11" s="44" t="str">
        <f t="shared" si="1"/>
        <v>Tidak</v>
      </c>
      <c r="H11" s="46">
        <f t="shared" si="2"/>
        <v>0</v>
      </c>
      <c r="I11" s="47"/>
    </row>
    <row r="12" ht="22.5" customHeight="1">
      <c r="A12" s="51">
        <v>46265.0</v>
      </c>
      <c r="B12" s="52" t="s">
        <v>117</v>
      </c>
      <c r="C12" s="40" t="s">
        <v>40</v>
      </c>
      <c r="D12" s="42" t="s">
        <v>114</v>
      </c>
      <c r="E12" s="43">
        <v>0.5340277777777778</v>
      </c>
      <c r="F12" s="49"/>
      <c r="G12" s="44" t="str">
        <f t="shared" si="1"/>
        <v>Tidak</v>
      </c>
      <c r="H12" s="46">
        <f t="shared" si="2"/>
        <v>0</v>
      </c>
      <c r="I12" s="47"/>
    </row>
    <row r="13" ht="22.5" customHeight="1">
      <c r="A13" s="51">
        <v>46265.0</v>
      </c>
      <c r="B13" s="52" t="s">
        <v>117</v>
      </c>
      <c r="C13" s="40" t="s">
        <v>36</v>
      </c>
      <c r="D13" s="42" t="s">
        <v>114</v>
      </c>
      <c r="E13" s="43">
        <v>0.5020833333333333</v>
      </c>
      <c r="F13" s="49"/>
      <c r="G13" s="44" t="str">
        <f t="shared" si="1"/>
        <v>Tidak</v>
      </c>
      <c r="H13" s="46">
        <f t="shared" si="2"/>
        <v>0</v>
      </c>
      <c r="I13" s="47"/>
    </row>
    <row r="14" ht="15.75" customHeight="1">
      <c r="A14" s="38">
        <v>46272.0</v>
      </c>
      <c r="B14" s="39" t="s">
        <v>110</v>
      </c>
      <c r="C14" s="40" t="s">
        <v>48</v>
      </c>
      <c r="D14" s="49"/>
      <c r="E14" s="53"/>
      <c r="F14" s="49"/>
      <c r="G14" s="44" t="str">
        <f t="shared" si="1"/>
        <v/>
      </c>
      <c r="H14" s="46">
        <f t="shared" si="2"/>
        <v>0</v>
      </c>
      <c r="I14" s="47"/>
    </row>
    <row r="15" ht="15.75" customHeight="1">
      <c r="A15" s="38">
        <v>46272.0</v>
      </c>
      <c r="B15" s="39" t="s">
        <v>110</v>
      </c>
      <c r="C15" s="40" t="s">
        <v>13</v>
      </c>
      <c r="D15" s="49"/>
      <c r="E15" s="53"/>
      <c r="F15" s="49"/>
      <c r="G15" s="44" t="str">
        <f t="shared" si="1"/>
        <v/>
      </c>
      <c r="H15" s="46">
        <f t="shared" si="2"/>
        <v>0</v>
      </c>
      <c r="I15" s="47"/>
    </row>
    <row r="16" ht="15.75" customHeight="1">
      <c r="A16" s="38">
        <v>46272.0</v>
      </c>
      <c r="B16" s="39" t="s">
        <v>110</v>
      </c>
      <c r="C16" s="40" t="s">
        <v>10</v>
      </c>
      <c r="D16" s="49"/>
      <c r="E16" s="53"/>
      <c r="F16" s="49"/>
      <c r="G16" s="44" t="str">
        <f t="shared" si="1"/>
        <v/>
      </c>
      <c r="H16" s="46">
        <f t="shared" si="2"/>
        <v>0</v>
      </c>
      <c r="I16" s="47"/>
    </row>
    <row r="17" ht="15.75" customHeight="1">
      <c r="A17" s="51">
        <v>46272.0</v>
      </c>
      <c r="B17" s="52" t="s">
        <v>117</v>
      </c>
      <c r="C17" s="40" t="s">
        <v>58</v>
      </c>
      <c r="D17" s="42"/>
      <c r="E17" s="53"/>
      <c r="F17" s="42"/>
      <c r="G17" s="44" t="str">
        <f t="shared" si="1"/>
        <v/>
      </c>
      <c r="H17" s="46">
        <f t="shared" si="2"/>
        <v>0</v>
      </c>
      <c r="I17" s="47"/>
    </row>
    <row r="18" ht="15.75" customHeight="1">
      <c r="A18" s="51">
        <v>46272.0</v>
      </c>
      <c r="B18" s="52" t="s">
        <v>117</v>
      </c>
      <c r="C18" s="40" t="s">
        <v>23</v>
      </c>
      <c r="D18" s="49"/>
      <c r="E18" s="53"/>
      <c r="F18" s="49"/>
      <c r="G18" s="44" t="str">
        <f t="shared" si="1"/>
        <v/>
      </c>
      <c r="H18" s="46">
        <f t="shared" si="2"/>
        <v>0</v>
      </c>
      <c r="I18" s="47"/>
    </row>
    <row r="19" ht="15.75" customHeight="1">
      <c r="A19" s="51">
        <v>46272.0</v>
      </c>
      <c r="B19" s="52" t="s">
        <v>117</v>
      </c>
      <c r="C19" s="40" t="s">
        <v>40</v>
      </c>
      <c r="D19" s="49"/>
      <c r="E19" s="53"/>
      <c r="F19" s="49"/>
      <c r="G19" s="44" t="str">
        <f t="shared" si="1"/>
        <v/>
      </c>
      <c r="H19" s="46">
        <f t="shared" si="2"/>
        <v>0</v>
      </c>
      <c r="I19" s="47"/>
    </row>
    <row r="20" ht="15.75" customHeight="1">
      <c r="A20" s="51">
        <v>46272.0</v>
      </c>
      <c r="B20" s="52" t="s">
        <v>117</v>
      </c>
      <c r="C20" s="40" t="s">
        <v>36</v>
      </c>
      <c r="D20" s="49"/>
      <c r="E20" s="53"/>
      <c r="F20" s="49"/>
      <c r="G20" s="44" t="str">
        <f t="shared" si="1"/>
        <v/>
      </c>
      <c r="H20" s="46">
        <f t="shared" si="2"/>
        <v>0</v>
      </c>
      <c r="I20" s="47"/>
    </row>
    <row r="21" ht="15.75" customHeight="1">
      <c r="A21" s="38">
        <v>46279.0</v>
      </c>
      <c r="B21" s="39" t="s">
        <v>110</v>
      </c>
      <c r="C21" s="40" t="s">
        <v>48</v>
      </c>
      <c r="D21" s="49"/>
      <c r="E21" s="53"/>
      <c r="F21" s="49"/>
      <c r="G21" s="44" t="str">
        <f t="shared" si="1"/>
        <v/>
      </c>
      <c r="H21" s="46">
        <f t="shared" si="2"/>
        <v>0</v>
      </c>
      <c r="I21" s="47"/>
    </row>
    <row r="22" ht="15.75" customHeight="1">
      <c r="A22" s="38">
        <v>46279.0</v>
      </c>
      <c r="B22" s="39" t="s">
        <v>110</v>
      </c>
      <c r="C22" s="40" t="s">
        <v>13</v>
      </c>
      <c r="D22" s="49"/>
      <c r="E22" s="53"/>
      <c r="F22" s="49"/>
      <c r="G22" s="44" t="str">
        <f t="shared" si="1"/>
        <v/>
      </c>
      <c r="H22" s="46">
        <f t="shared" si="2"/>
        <v>0</v>
      </c>
      <c r="I22" s="47"/>
    </row>
    <row r="23" ht="15.75" customHeight="1">
      <c r="A23" s="38">
        <v>46279.0</v>
      </c>
      <c r="B23" s="39" t="s">
        <v>110</v>
      </c>
      <c r="C23" s="40" t="s">
        <v>10</v>
      </c>
      <c r="D23" s="49"/>
      <c r="E23" s="53"/>
      <c r="F23" s="49"/>
      <c r="G23" s="44" t="str">
        <f t="shared" si="1"/>
        <v/>
      </c>
      <c r="H23" s="46">
        <f t="shared" si="2"/>
        <v>0</v>
      </c>
      <c r="I23" s="47"/>
    </row>
    <row r="24" ht="15.75" customHeight="1">
      <c r="A24" s="51">
        <v>46279.0</v>
      </c>
      <c r="B24" s="52" t="s">
        <v>117</v>
      </c>
      <c r="C24" s="40" t="s">
        <v>58</v>
      </c>
      <c r="D24" s="49"/>
      <c r="E24" s="53"/>
      <c r="F24" s="49"/>
      <c r="G24" s="44" t="str">
        <f t="shared" si="1"/>
        <v/>
      </c>
      <c r="H24" s="46">
        <f t="shared" si="2"/>
        <v>0</v>
      </c>
      <c r="I24" s="47"/>
    </row>
    <row r="25" ht="15.75" customHeight="1">
      <c r="A25" s="51">
        <v>46279.0</v>
      </c>
      <c r="B25" s="52" t="s">
        <v>117</v>
      </c>
      <c r="C25" s="40" t="s">
        <v>23</v>
      </c>
      <c r="D25" s="49"/>
      <c r="E25" s="53"/>
      <c r="F25" s="49"/>
      <c r="G25" s="44" t="str">
        <f t="shared" si="1"/>
        <v/>
      </c>
      <c r="H25" s="46">
        <f t="shared" si="2"/>
        <v>0</v>
      </c>
      <c r="I25" s="47"/>
    </row>
    <row r="26" ht="15.75" customHeight="1">
      <c r="A26" s="51">
        <v>46279.0</v>
      </c>
      <c r="B26" s="52" t="s">
        <v>117</v>
      </c>
      <c r="C26" s="40" t="s">
        <v>40</v>
      </c>
      <c r="D26" s="49"/>
      <c r="E26" s="53"/>
      <c r="F26" s="49"/>
      <c r="G26" s="44" t="str">
        <f t="shared" si="1"/>
        <v/>
      </c>
      <c r="H26" s="46">
        <f t="shared" si="2"/>
        <v>0</v>
      </c>
      <c r="I26" s="47"/>
    </row>
    <row r="27" ht="15.75" customHeight="1">
      <c r="A27" s="51">
        <v>46279.0</v>
      </c>
      <c r="B27" s="52" t="s">
        <v>117</v>
      </c>
      <c r="C27" s="40" t="s">
        <v>36</v>
      </c>
      <c r="D27" s="49"/>
      <c r="E27" s="53"/>
      <c r="F27" s="49"/>
      <c r="G27" s="44" t="str">
        <f t="shared" si="1"/>
        <v/>
      </c>
      <c r="H27" s="46">
        <f t="shared" si="2"/>
        <v>0</v>
      </c>
      <c r="I27" s="47"/>
    </row>
    <row r="28" ht="15.75" customHeight="1">
      <c r="A28" s="38">
        <v>46286.0</v>
      </c>
      <c r="B28" s="39" t="s">
        <v>110</v>
      </c>
      <c r="C28" s="40" t="s">
        <v>48</v>
      </c>
      <c r="D28" s="49"/>
      <c r="E28" s="53"/>
      <c r="F28" s="49"/>
      <c r="G28" s="44" t="str">
        <f t="shared" si="1"/>
        <v/>
      </c>
      <c r="H28" s="46">
        <f t="shared" si="2"/>
        <v>0</v>
      </c>
      <c r="I28" s="47"/>
    </row>
    <row r="29" ht="15.75" customHeight="1">
      <c r="A29" s="38">
        <v>46286.0</v>
      </c>
      <c r="B29" s="39" t="s">
        <v>110</v>
      </c>
      <c r="C29" s="40" t="s">
        <v>13</v>
      </c>
      <c r="D29" s="49"/>
      <c r="E29" s="53"/>
      <c r="F29" s="49"/>
      <c r="G29" s="44" t="str">
        <f t="shared" si="1"/>
        <v/>
      </c>
      <c r="H29" s="46">
        <f t="shared" si="2"/>
        <v>0</v>
      </c>
      <c r="I29" s="47"/>
    </row>
    <row r="30" ht="15.75" customHeight="1">
      <c r="A30" s="38">
        <v>46286.0</v>
      </c>
      <c r="B30" s="39" t="s">
        <v>110</v>
      </c>
      <c r="C30" s="40" t="s">
        <v>10</v>
      </c>
      <c r="D30" s="49"/>
      <c r="E30" s="53"/>
      <c r="F30" s="49"/>
      <c r="G30" s="44" t="str">
        <f t="shared" si="1"/>
        <v/>
      </c>
      <c r="H30" s="46">
        <f t="shared" si="2"/>
        <v>0</v>
      </c>
      <c r="I30" s="47"/>
    </row>
    <row r="31" ht="15.75" customHeight="1">
      <c r="A31" s="51">
        <v>46286.0</v>
      </c>
      <c r="B31" s="52" t="s">
        <v>117</v>
      </c>
      <c r="C31" s="40" t="s">
        <v>58</v>
      </c>
      <c r="D31" s="49"/>
      <c r="E31" s="53"/>
      <c r="F31" s="49"/>
      <c r="G31" s="44" t="str">
        <f t="shared" si="1"/>
        <v/>
      </c>
      <c r="H31" s="46">
        <f t="shared" si="2"/>
        <v>0</v>
      </c>
      <c r="I31" s="47"/>
    </row>
    <row r="32" ht="15.75" customHeight="1">
      <c r="A32" s="51">
        <v>46286.0</v>
      </c>
      <c r="B32" s="52" t="s">
        <v>117</v>
      </c>
      <c r="C32" s="40" t="s">
        <v>23</v>
      </c>
      <c r="D32" s="49"/>
      <c r="E32" s="53"/>
      <c r="F32" s="49"/>
      <c r="G32" s="44" t="str">
        <f t="shared" si="1"/>
        <v/>
      </c>
      <c r="H32" s="46">
        <f t="shared" si="2"/>
        <v>0</v>
      </c>
      <c r="I32" s="47"/>
    </row>
    <row r="33" ht="15.75" customHeight="1">
      <c r="A33" s="51">
        <v>46286.0</v>
      </c>
      <c r="B33" s="52" t="s">
        <v>117</v>
      </c>
      <c r="C33" s="40" t="s">
        <v>40</v>
      </c>
      <c r="D33" s="49"/>
      <c r="E33" s="53"/>
      <c r="F33" s="49"/>
      <c r="G33" s="44" t="str">
        <f t="shared" si="1"/>
        <v/>
      </c>
      <c r="H33" s="46">
        <f t="shared" si="2"/>
        <v>0</v>
      </c>
      <c r="I33" s="47"/>
    </row>
    <row r="34" ht="15.75" customHeight="1">
      <c r="A34" s="51">
        <v>46286.0</v>
      </c>
      <c r="B34" s="52" t="s">
        <v>117</v>
      </c>
      <c r="C34" s="40" t="s">
        <v>36</v>
      </c>
      <c r="D34" s="49"/>
      <c r="E34" s="53"/>
      <c r="F34" s="49"/>
      <c r="G34" s="44" t="str">
        <f t="shared" si="1"/>
        <v/>
      </c>
      <c r="H34" s="46">
        <f t="shared" si="2"/>
        <v>0</v>
      </c>
      <c r="I34" s="47"/>
    </row>
    <row r="35" ht="15.75" customHeight="1">
      <c r="A35" s="38">
        <v>46293.0</v>
      </c>
      <c r="B35" s="39" t="s">
        <v>110</v>
      </c>
      <c r="C35" s="40" t="s">
        <v>48</v>
      </c>
      <c r="D35" s="49"/>
      <c r="E35" s="53"/>
      <c r="F35" s="49"/>
      <c r="G35" s="44" t="str">
        <f t="shared" si="1"/>
        <v/>
      </c>
      <c r="H35" s="46">
        <f t="shared" si="2"/>
        <v>0</v>
      </c>
      <c r="I35" s="47"/>
    </row>
    <row r="36" ht="15.75" customHeight="1">
      <c r="A36" s="38">
        <v>46293.0</v>
      </c>
      <c r="B36" s="39" t="s">
        <v>110</v>
      </c>
      <c r="C36" s="40" t="s">
        <v>13</v>
      </c>
      <c r="D36" s="49"/>
      <c r="E36" s="53"/>
      <c r="F36" s="49"/>
      <c r="G36" s="44" t="str">
        <f t="shared" si="1"/>
        <v/>
      </c>
      <c r="H36" s="46">
        <f t="shared" si="2"/>
        <v>0</v>
      </c>
      <c r="I36" s="47"/>
    </row>
    <row r="37" ht="15.75" customHeight="1">
      <c r="A37" s="38">
        <v>46293.0</v>
      </c>
      <c r="B37" s="39" t="s">
        <v>110</v>
      </c>
      <c r="C37" s="40" t="s">
        <v>10</v>
      </c>
      <c r="D37" s="49"/>
      <c r="E37" s="53"/>
      <c r="F37" s="49"/>
      <c r="G37" s="44" t="str">
        <f t="shared" si="1"/>
        <v/>
      </c>
      <c r="H37" s="46">
        <f t="shared" si="2"/>
        <v>0</v>
      </c>
      <c r="I37" s="47"/>
    </row>
    <row r="38" ht="15.75" customHeight="1">
      <c r="A38" s="51">
        <v>46293.0</v>
      </c>
      <c r="B38" s="52" t="s">
        <v>117</v>
      </c>
      <c r="C38" s="40" t="s">
        <v>58</v>
      </c>
      <c r="D38" s="49"/>
      <c r="E38" s="53"/>
      <c r="F38" s="49"/>
      <c r="G38" s="44" t="str">
        <f t="shared" si="1"/>
        <v/>
      </c>
      <c r="H38" s="46">
        <f t="shared" si="2"/>
        <v>0</v>
      </c>
      <c r="I38" s="47"/>
    </row>
    <row r="39" ht="15.75" customHeight="1">
      <c r="A39" s="51">
        <v>46293.0</v>
      </c>
      <c r="B39" s="52" t="s">
        <v>117</v>
      </c>
      <c r="C39" s="40" t="s">
        <v>23</v>
      </c>
      <c r="D39" s="49"/>
      <c r="E39" s="53"/>
      <c r="F39" s="49"/>
      <c r="G39" s="44" t="str">
        <f t="shared" si="1"/>
        <v/>
      </c>
      <c r="H39" s="46">
        <f t="shared" si="2"/>
        <v>0</v>
      </c>
      <c r="I39" s="47"/>
    </row>
    <row r="40" ht="15.75" customHeight="1">
      <c r="A40" s="51">
        <v>46293.0</v>
      </c>
      <c r="B40" s="52" t="s">
        <v>117</v>
      </c>
      <c r="C40" s="40" t="s">
        <v>40</v>
      </c>
      <c r="D40" s="49"/>
      <c r="E40" s="53"/>
      <c r="F40" s="49"/>
      <c r="G40" s="44" t="str">
        <f t="shared" si="1"/>
        <v/>
      </c>
      <c r="H40" s="46">
        <f t="shared" si="2"/>
        <v>0</v>
      </c>
      <c r="I40" s="47"/>
    </row>
    <row r="41" ht="15.75" customHeight="1">
      <c r="A41" s="51">
        <v>46293.0</v>
      </c>
      <c r="B41" s="52" t="s">
        <v>117</v>
      </c>
      <c r="C41" s="40" t="s">
        <v>36</v>
      </c>
      <c r="D41" s="49"/>
      <c r="E41" s="53"/>
      <c r="F41" s="49"/>
      <c r="G41" s="44" t="str">
        <f t="shared" si="1"/>
        <v/>
      </c>
      <c r="H41" s="46">
        <f t="shared" si="2"/>
        <v>0</v>
      </c>
      <c r="I41" s="47"/>
    </row>
    <row r="42" ht="15.75" customHeight="1">
      <c r="A42" s="38">
        <v>46300.0</v>
      </c>
      <c r="B42" s="39" t="s">
        <v>110</v>
      </c>
      <c r="C42" s="40" t="s">
        <v>48</v>
      </c>
      <c r="D42" s="49"/>
      <c r="E42" s="53"/>
      <c r="F42" s="49"/>
      <c r="G42" s="44" t="str">
        <f t="shared" si="1"/>
        <v/>
      </c>
      <c r="H42" s="46">
        <f t="shared" si="2"/>
        <v>0</v>
      </c>
      <c r="I42" s="47"/>
    </row>
    <row r="43" ht="15.75" customHeight="1">
      <c r="A43" s="38">
        <v>46300.0</v>
      </c>
      <c r="B43" s="39" t="s">
        <v>110</v>
      </c>
      <c r="C43" s="40" t="s">
        <v>13</v>
      </c>
      <c r="D43" s="49"/>
      <c r="E43" s="53"/>
      <c r="F43" s="49"/>
      <c r="G43" s="44" t="str">
        <f t="shared" si="1"/>
        <v/>
      </c>
      <c r="H43" s="46">
        <f t="shared" si="2"/>
        <v>0</v>
      </c>
      <c r="I43" s="47"/>
    </row>
    <row r="44" ht="15.75" customHeight="1">
      <c r="A44" s="38">
        <v>46300.0</v>
      </c>
      <c r="B44" s="39" t="s">
        <v>110</v>
      </c>
      <c r="C44" s="40" t="s">
        <v>10</v>
      </c>
      <c r="D44" s="49"/>
      <c r="E44" s="53"/>
      <c r="F44" s="49"/>
      <c r="G44" s="44" t="str">
        <f t="shared" si="1"/>
        <v/>
      </c>
      <c r="H44" s="46">
        <f t="shared" si="2"/>
        <v>0</v>
      </c>
      <c r="I44" s="47"/>
    </row>
    <row r="45" ht="15.75" customHeight="1">
      <c r="A45" s="51">
        <v>46300.0</v>
      </c>
      <c r="B45" s="52" t="s">
        <v>117</v>
      </c>
      <c r="C45" s="40" t="s">
        <v>58</v>
      </c>
      <c r="D45" s="49"/>
      <c r="E45" s="53"/>
      <c r="F45" s="49"/>
      <c r="G45" s="44" t="str">
        <f t="shared" si="1"/>
        <v/>
      </c>
      <c r="H45" s="46">
        <f t="shared" si="2"/>
        <v>0</v>
      </c>
      <c r="I45" s="47"/>
    </row>
    <row r="46" ht="15.75" customHeight="1">
      <c r="A46" s="51">
        <v>46300.0</v>
      </c>
      <c r="B46" s="52" t="s">
        <v>117</v>
      </c>
      <c r="C46" s="40" t="s">
        <v>23</v>
      </c>
      <c r="D46" s="49"/>
      <c r="E46" s="53"/>
      <c r="F46" s="49"/>
      <c r="G46" s="44" t="str">
        <f t="shared" si="1"/>
        <v/>
      </c>
      <c r="H46" s="46">
        <f t="shared" si="2"/>
        <v>0</v>
      </c>
      <c r="I46" s="47"/>
    </row>
    <row r="47" ht="15.75" customHeight="1">
      <c r="A47" s="51">
        <v>46300.0</v>
      </c>
      <c r="B47" s="52" t="s">
        <v>117</v>
      </c>
      <c r="C47" s="40" t="s">
        <v>40</v>
      </c>
      <c r="D47" s="49"/>
      <c r="E47" s="53"/>
      <c r="F47" s="49"/>
      <c r="G47" s="44" t="str">
        <f t="shared" si="1"/>
        <v/>
      </c>
      <c r="H47" s="46">
        <f t="shared" si="2"/>
        <v>0</v>
      </c>
      <c r="I47" s="47"/>
    </row>
    <row r="48" ht="15.75" customHeight="1">
      <c r="A48" s="51">
        <v>46300.0</v>
      </c>
      <c r="B48" s="52" t="s">
        <v>117</v>
      </c>
      <c r="C48" s="40" t="s">
        <v>36</v>
      </c>
      <c r="D48" s="49"/>
      <c r="E48" s="53"/>
      <c r="F48" s="49"/>
      <c r="G48" s="44" t="str">
        <f t="shared" si="1"/>
        <v/>
      </c>
      <c r="H48" s="46">
        <f t="shared" si="2"/>
        <v>0</v>
      </c>
      <c r="I48" s="47"/>
    </row>
    <row r="49" ht="15.75" customHeight="1">
      <c r="A49" s="38">
        <v>46307.0</v>
      </c>
      <c r="B49" s="39" t="s">
        <v>110</v>
      </c>
      <c r="C49" s="40" t="s">
        <v>48</v>
      </c>
      <c r="D49" s="49"/>
      <c r="E49" s="53"/>
      <c r="F49" s="49"/>
      <c r="G49" s="44" t="str">
        <f t="shared" si="1"/>
        <v/>
      </c>
      <c r="H49" s="46">
        <f t="shared" si="2"/>
        <v>0</v>
      </c>
      <c r="I49" s="47"/>
    </row>
    <row r="50" ht="15.75" customHeight="1">
      <c r="A50" s="38">
        <v>46307.0</v>
      </c>
      <c r="B50" s="39" t="s">
        <v>110</v>
      </c>
      <c r="C50" s="40" t="s">
        <v>13</v>
      </c>
      <c r="D50" s="49"/>
      <c r="E50" s="53"/>
      <c r="F50" s="49"/>
      <c r="G50" s="44" t="str">
        <f t="shared" si="1"/>
        <v/>
      </c>
      <c r="H50" s="46">
        <f t="shared" si="2"/>
        <v>0</v>
      </c>
      <c r="I50" s="47"/>
    </row>
    <row r="51" ht="15.75" customHeight="1">
      <c r="A51" s="38">
        <v>46307.0</v>
      </c>
      <c r="B51" s="39" t="s">
        <v>110</v>
      </c>
      <c r="C51" s="40" t="s">
        <v>10</v>
      </c>
      <c r="D51" s="49"/>
      <c r="E51" s="53"/>
      <c r="F51" s="49"/>
      <c r="G51" s="44" t="str">
        <f t="shared" si="1"/>
        <v/>
      </c>
      <c r="H51" s="46">
        <f t="shared" si="2"/>
        <v>0</v>
      </c>
      <c r="I51" s="47"/>
    </row>
    <row r="52" ht="15.75" customHeight="1">
      <c r="A52" s="51">
        <v>46307.0</v>
      </c>
      <c r="B52" s="52" t="s">
        <v>117</v>
      </c>
      <c r="C52" s="40" t="s">
        <v>58</v>
      </c>
      <c r="D52" s="49"/>
      <c r="E52" s="53"/>
      <c r="F52" s="49"/>
      <c r="G52" s="44" t="str">
        <f t="shared" si="1"/>
        <v/>
      </c>
      <c r="H52" s="46">
        <f t="shared" si="2"/>
        <v>0</v>
      </c>
      <c r="I52" s="47"/>
    </row>
    <row r="53" ht="15.75" customHeight="1">
      <c r="A53" s="51">
        <v>46307.0</v>
      </c>
      <c r="B53" s="52" t="s">
        <v>117</v>
      </c>
      <c r="C53" s="40" t="s">
        <v>23</v>
      </c>
      <c r="D53" s="49"/>
      <c r="E53" s="53"/>
      <c r="F53" s="49"/>
      <c r="G53" s="44" t="str">
        <f t="shared" si="1"/>
        <v/>
      </c>
      <c r="H53" s="46">
        <f t="shared" si="2"/>
        <v>0</v>
      </c>
      <c r="I53" s="47"/>
    </row>
    <row r="54" ht="15.75" customHeight="1">
      <c r="A54" s="51">
        <v>46307.0</v>
      </c>
      <c r="B54" s="52" t="s">
        <v>117</v>
      </c>
      <c r="C54" s="40" t="s">
        <v>40</v>
      </c>
      <c r="D54" s="49"/>
      <c r="E54" s="53"/>
      <c r="F54" s="49"/>
      <c r="G54" s="44" t="str">
        <f t="shared" si="1"/>
        <v/>
      </c>
      <c r="H54" s="46">
        <f t="shared" si="2"/>
        <v>0</v>
      </c>
      <c r="I54" s="47"/>
    </row>
    <row r="55" ht="15.75" customHeight="1">
      <c r="A55" s="51">
        <v>46307.0</v>
      </c>
      <c r="B55" s="52" t="s">
        <v>117</v>
      </c>
      <c r="C55" s="40" t="s">
        <v>36</v>
      </c>
      <c r="D55" s="49"/>
      <c r="E55" s="53"/>
      <c r="F55" s="49"/>
      <c r="G55" s="44" t="str">
        <f t="shared" si="1"/>
        <v/>
      </c>
      <c r="H55" s="46">
        <f t="shared" si="2"/>
        <v>0</v>
      </c>
      <c r="I55" s="47"/>
    </row>
    <row r="56" ht="15.75" customHeight="1">
      <c r="A56" s="38">
        <v>46314.0</v>
      </c>
      <c r="B56" s="39" t="s">
        <v>110</v>
      </c>
      <c r="C56" s="40" t="s">
        <v>48</v>
      </c>
      <c r="D56" s="49"/>
      <c r="E56" s="53"/>
      <c r="F56" s="49"/>
      <c r="G56" s="44" t="str">
        <f t="shared" si="1"/>
        <v/>
      </c>
      <c r="H56" s="46">
        <f t="shared" si="2"/>
        <v>0</v>
      </c>
      <c r="I56" s="47"/>
    </row>
    <row r="57" ht="15.75" customHeight="1">
      <c r="A57" s="38">
        <v>46314.0</v>
      </c>
      <c r="B57" s="39" t="s">
        <v>110</v>
      </c>
      <c r="C57" s="40" t="s">
        <v>13</v>
      </c>
      <c r="D57" s="49"/>
      <c r="E57" s="53"/>
      <c r="F57" s="49"/>
      <c r="G57" s="44" t="str">
        <f t="shared" si="1"/>
        <v/>
      </c>
      <c r="H57" s="46">
        <f t="shared" si="2"/>
        <v>0</v>
      </c>
      <c r="I57" s="47"/>
    </row>
    <row r="58" ht="15.75" customHeight="1">
      <c r="A58" s="38">
        <v>46314.0</v>
      </c>
      <c r="B58" s="39" t="s">
        <v>110</v>
      </c>
      <c r="C58" s="40" t="s">
        <v>10</v>
      </c>
      <c r="D58" s="49"/>
      <c r="E58" s="53"/>
      <c r="F58" s="49"/>
      <c r="G58" s="44" t="str">
        <f t="shared" si="1"/>
        <v/>
      </c>
      <c r="H58" s="46">
        <f t="shared" si="2"/>
        <v>0</v>
      </c>
      <c r="I58" s="47"/>
    </row>
    <row r="59" ht="15.75" customHeight="1">
      <c r="A59" s="51">
        <v>46314.0</v>
      </c>
      <c r="B59" s="52" t="s">
        <v>117</v>
      </c>
      <c r="C59" s="40" t="s">
        <v>58</v>
      </c>
      <c r="D59" s="49"/>
      <c r="E59" s="53"/>
      <c r="F59" s="49"/>
      <c r="G59" s="44" t="str">
        <f t="shared" si="1"/>
        <v/>
      </c>
      <c r="H59" s="46">
        <f t="shared" si="2"/>
        <v>0</v>
      </c>
      <c r="I59" s="47"/>
    </row>
    <row r="60" ht="15.75" customHeight="1">
      <c r="A60" s="51">
        <v>46314.0</v>
      </c>
      <c r="B60" s="52" t="s">
        <v>117</v>
      </c>
      <c r="C60" s="40" t="s">
        <v>23</v>
      </c>
      <c r="D60" s="49"/>
      <c r="E60" s="53"/>
      <c r="F60" s="49"/>
      <c r="G60" s="44" t="str">
        <f t="shared" si="1"/>
        <v/>
      </c>
      <c r="H60" s="46">
        <f t="shared" si="2"/>
        <v>0</v>
      </c>
      <c r="I60" s="47"/>
    </row>
    <row r="61" ht="15.75" customHeight="1">
      <c r="A61" s="51">
        <v>46314.0</v>
      </c>
      <c r="B61" s="52" t="s">
        <v>117</v>
      </c>
      <c r="C61" s="40" t="s">
        <v>40</v>
      </c>
      <c r="D61" s="49"/>
      <c r="E61" s="53"/>
      <c r="F61" s="49"/>
      <c r="G61" s="44" t="str">
        <f t="shared" si="1"/>
        <v/>
      </c>
      <c r="H61" s="46">
        <f t="shared" si="2"/>
        <v>0</v>
      </c>
      <c r="I61" s="47"/>
    </row>
    <row r="62" ht="15.75" customHeight="1">
      <c r="A62" s="51">
        <v>46314.0</v>
      </c>
      <c r="B62" s="52" t="s">
        <v>117</v>
      </c>
      <c r="C62" s="40" t="s">
        <v>36</v>
      </c>
      <c r="D62" s="49"/>
      <c r="E62" s="53"/>
      <c r="F62" s="49"/>
      <c r="G62" s="44" t="str">
        <f t="shared" si="1"/>
        <v/>
      </c>
      <c r="H62" s="46">
        <f t="shared" si="2"/>
        <v>0</v>
      </c>
      <c r="I62" s="47"/>
    </row>
    <row r="63" ht="15.75" customHeight="1">
      <c r="A63" s="38">
        <v>46321.0</v>
      </c>
      <c r="B63" s="39" t="s">
        <v>110</v>
      </c>
      <c r="C63" s="40" t="s">
        <v>48</v>
      </c>
      <c r="D63" s="49"/>
      <c r="E63" s="53"/>
      <c r="F63" s="49"/>
      <c r="G63" s="44" t="str">
        <f t="shared" si="1"/>
        <v/>
      </c>
      <c r="H63" s="46">
        <f t="shared" si="2"/>
        <v>0</v>
      </c>
      <c r="I63" s="47"/>
    </row>
    <row r="64" ht="15.75" customHeight="1">
      <c r="A64" s="38">
        <v>46321.0</v>
      </c>
      <c r="B64" s="39" t="s">
        <v>110</v>
      </c>
      <c r="C64" s="40" t="s">
        <v>13</v>
      </c>
      <c r="D64" s="49"/>
      <c r="E64" s="53"/>
      <c r="F64" s="49"/>
      <c r="G64" s="44" t="str">
        <f t="shared" si="1"/>
        <v/>
      </c>
      <c r="H64" s="46">
        <f t="shared" si="2"/>
        <v>0</v>
      </c>
      <c r="I64" s="47"/>
    </row>
    <row r="65" ht="15.75" customHeight="1">
      <c r="A65" s="38">
        <v>46321.0</v>
      </c>
      <c r="B65" s="39" t="s">
        <v>110</v>
      </c>
      <c r="C65" s="40" t="s">
        <v>10</v>
      </c>
      <c r="D65" s="49"/>
      <c r="E65" s="53"/>
      <c r="F65" s="49"/>
      <c r="G65" s="44" t="str">
        <f t="shared" si="1"/>
        <v/>
      </c>
      <c r="H65" s="46">
        <f t="shared" si="2"/>
        <v>0</v>
      </c>
      <c r="I65" s="47"/>
    </row>
    <row r="66" ht="15.75" customHeight="1">
      <c r="A66" s="51">
        <v>46321.0</v>
      </c>
      <c r="B66" s="52" t="s">
        <v>117</v>
      </c>
      <c r="C66" s="40" t="s">
        <v>58</v>
      </c>
      <c r="D66" s="49"/>
      <c r="E66" s="53"/>
      <c r="F66" s="49"/>
      <c r="G66" s="44" t="str">
        <f t="shared" si="1"/>
        <v/>
      </c>
      <c r="H66" s="46">
        <f t="shared" si="2"/>
        <v>0</v>
      </c>
      <c r="I66" s="47"/>
    </row>
    <row r="67" ht="15.75" customHeight="1">
      <c r="A67" s="51">
        <v>46321.0</v>
      </c>
      <c r="B67" s="52" t="s">
        <v>117</v>
      </c>
      <c r="C67" s="40" t="s">
        <v>23</v>
      </c>
      <c r="D67" s="49"/>
      <c r="E67" s="53"/>
      <c r="F67" s="49"/>
      <c r="G67" s="44" t="str">
        <f t="shared" si="1"/>
        <v/>
      </c>
      <c r="H67" s="46">
        <f t="shared" si="2"/>
        <v>0</v>
      </c>
      <c r="I67" s="47"/>
    </row>
    <row r="68" ht="15.75" customHeight="1">
      <c r="A68" s="51">
        <v>46321.0</v>
      </c>
      <c r="B68" s="52" t="s">
        <v>117</v>
      </c>
      <c r="C68" s="40" t="s">
        <v>40</v>
      </c>
      <c r="D68" s="49"/>
      <c r="E68" s="53"/>
      <c r="F68" s="49"/>
      <c r="G68" s="44" t="str">
        <f t="shared" si="1"/>
        <v/>
      </c>
      <c r="H68" s="46">
        <f t="shared" si="2"/>
        <v>0</v>
      </c>
      <c r="I68" s="47"/>
    </row>
    <row r="69" ht="15.75" customHeight="1">
      <c r="A69" s="51">
        <v>46321.0</v>
      </c>
      <c r="B69" s="52" t="s">
        <v>117</v>
      </c>
      <c r="C69" s="40" t="s">
        <v>36</v>
      </c>
      <c r="D69" s="49"/>
      <c r="E69" s="53"/>
      <c r="F69" s="49"/>
      <c r="G69" s="44" t="str">
        <f t="shared" si="1"/>
        <v/>
      </c>
      <c r="H69" s="46">
        <f t="shared" si="2"/>
        <v>0</v>
      </c>
      <c r="I69" s="47"/>
    </row>
    <row r="70" ht="15.75" customHeight="1">
      <c r="A70" s="38">
        <v>46328.0</v>
      </c>
      <c r="B70" s="39" t="s">
        <v>110</v>
      </c>
      <c r="C70" s="40" t="s">
        <v>48</v>
      </c>
      <c r="D70" s="49"/>
      <c r="E70" s="53"/>
      <c r="F70" s="49"/>
      <c r="G70" s="44" t="str">
        <f t="shared" si="1"/>
        <v/>
      </c>
      <c r="H70" s="46">
        <f t="shared" si="2"/>
        <v>0</v>
      </c>
      <c r="I70" s="47"/>
    </row>
    <row r="71" ht="15.75" customHeight="1">
      <c r="A71" s="38">
        <v>46328.0</v>
      </c>
      <c r="B71" s="39" t="s">
        <v>110</v>
      </c>
      <c r="C71" s="40" t="s">
        <v>13</v>
      </c>
      <c r="D71" s="49"/>
      <c r="E71" s="53"/>
      <c r="F71" s="49"/>
      <c r="G71" s="44" t="str">
        <f t="shared" si="1"/>
        <v/>
      </c>
      <c r="H71" s="46">
        <f t="shared" si="2"/>
        <v>0</v>
      </c>
      <c r="I71" s="47"/>
    </row>
    <row r="72" ht="15.75" customHeight="1">
      <c r="A72" s="38">
        <v>46328.0</v>
      </c>
      <c r="B72" s="39" t="s">
        <v>110</v>
      </c>
      <c r="C72" s="40" t="s">
        <v>10</v>
      </c>
      <c r="D72" s="49"/>
      <c r="E72" s="53"/>
      <c r="F72" s="49"/>
      <c r="G72" s="44" t="str">
        <f t="shared" si="1"/>
        <v/>
      </c>
      <c r="H72" s="46">
        <f t="shared" si="2"/>
        <v>0</v>
      </c>
      <c r="I72" s="47"/>
    </row>
    <row r="73" ht="15.75" customHeight="1">
      <c r="A73" s="51">
        <v>46328.0</v>
      </c>
      <c r="B73" s="52" t="s">
        <v>117</v>
      </c>
      <c r="C73" s="40" t="s">
        <v>58</v>
      </c>
      <c r="D73" s="49"/>
      <c r="E73" s="53"/>
      <c r="F73" s="49"/>
      <c r="G73" s="44" t="str">
        <f t="shared" si="1"/>
        <v/>
      </c>
      <c r="H73" s="46">
        <f t="shared" si="2"/>
        <v>0</v>
      </c>
      <c r="I73" s="47"/>
    </row>
    <row r="74" ht="15.75" customHeight="1">
      <c r="A74" s="51">
        <v>46328.0</v>
      </c>
      <c r="B74" s="52" t="s">
        <v>117</v>
      </c>
      <c r="C74" s="40" t="s">
        <v>23</v>
      </c>
      <c r="D74" s="49"/>
      <c r="E74" s="53"/>
      <c r="F74" s="49"/>
      <c r="G74" s="44" t="str">
        <f t="shared" si="1"/>
        <v/>
      </c>
      <c r="H74" s="46">
        <f t="shared" si="2"/>
        <v>0</v>
      </c>
      <c r="I74" s="47"/>
    </row>
    <row r="75" ht="15.75" customHeight="1">
      <c r="A75" s="51">
        <v>46328.0</v>
      </c>
      <c r="B75" s="52" t="s">
        <v>117</v>
      </c>
      <c r="C75" s="40" t="s">
        <v>40</v>
      </c>
      <c r="D75" s="49"/>
      <c r="E75" s="53"/>
      <c r="F75" s="49"/>
      <c r="G75" s="44" t="str">
        <f t="shared" si="1"/>
        <v/>
      </c>
      <c r="H75" s="46">
        <f t="shared" si="2"/>
        <v>0</v>
      </c>
      <c r="I75" s="47"/>
    </row>
    <row r="76" ht="15.75" customHeight="1">
      <c r="A76" s="51">
        <v>46328.0</v>
      </c>
      <c r="B76" s="52" t="s">
        <v>117</v>
      </c>
      <c r="C76" s="40" t="s">
        <v>36</v>
      </c>
      <c r="D76" s="49"/>
      <c r="E76" s="53"/>
      <c r="F76" s="49"/>
      <c r="G76" s="44" t="str">
        <f t="shared" si="1"/>
        <v/>
      </c>
      <c r="H76" s="46">
        <f t="shared" si="2"/>
        <v>0</v>
      </c>
      <c r="I76" s="47"/>
    </row>
    <row r="77" ht="15.75" customHeight="1">
      <c r="A77" s="38">
        <v>46335.0</v>
      </c>
      <c r="B77" s="39" t="s">
        <v>110</v>
      </c>
      <c r="C77" s="40" t="s">
        <v>48</v>
      </c>
      <c r="D77" s="49"/>
      <c r="E77" s="53"/>
      <c r="F77" s="49"/>
      <c r="G77" s="44" t="str">
        <f t="shared" si="1"/>
        <v/>
      </c>
      <c r="H77" s="46">
        <f t="shared" si="2"/>
        <v>0</v>
      </c>
      <c r="I77" s="47"/>
    </row>
    <row r="78" ht="15.75" customHeight="1">
      <c r="A78" s="38">
        <v>46335.0</v>
      </c>
      <c r="B78" s="39" t="s">
        <v>110</v>
      </c>
      <c r="C78" s="40" t="s">
        <v>13</v>
      </c>
      <c r="D78" s="49"/>
      <c r="E78" s="53"/>
      <c r="F78" s="49"/>
      <c r="G78" s="44" t="str">
        <f t="shared" si="1"/>
        <v/>
      </c>
      <c r="H78" s="46">
        <f t="shared" si="2"/>
        <v>0</v>
      </c>
      <c r="I78" s="47"/>
    </row>
    <row r="79" ht="15.75" customHeight="1">
      <c r="A79" s="38">
        <v>46335.0</v>
      </c>
      <c r="B79" s="39" t="s">
        <v>110</v>
      </c>
      <c r="C79" s="40" t="s">
        <v>10</v>
      </c>
      <c r="D79" s="49"/>
      <c r="E79" s="53"/>
      <c r="F79" s="49"/>
      <c r="G79" s="44" t="str">
        <f t="shared" si="1"/>
        <v/>
      </c>
      <c r="H79" s="46">
        <f t="shared" si="2"/>
        <v>0</v>
      </c>
      <c r="I79" s="47"/>
    </row>
    <row r="80" ht="15.75" customHeight="1">
      <c r="A80" s="51">
        <v>46335.0</v>
      </c>
      <c r="B80" s="52" t="s">
        <v>117</v>
      </c>
      <c r="C80" s="40" t="s">
        <v>58</v>
      </c>
      <c r="D80" s="49"/>
      <c r="E80" s="53"/>
      <c r="F80" s="49"/>
      <c r="G80" s="44" t="str">
        <f t="shared" si="1"/>
        <v/>
      </c>
      <c r="H80" s="46">
        <f t="shared" si="2"/>
        <v>0</v>
      </c>
      <c r="I80" s="47"/>
    </row>
    <row r="81" ht="15.75" customHeight="1">
      <c r="A81" s="51">
        <v>46335.0</v>
      </c>
      <c r="B81" s="52" t="s">
        <v>117</v>
      </c>
      <c r="C81" s="40" t="s">
        <v>23</v>
      </c>
      <c r="D81" s="49"/>
      <c r="E81" s="53"/>
      <c r="F81" s="49"/>
      <c r="G81" s="44" t="str">
        <f t="shared" si="1"/>
        <v/>
      </c>
      <c r="H81" s="46">
        <f t="shared" si="2"/>
        <v>0</v>
      </c>
      <c r="I81" s="47"/>
    </row>
    <row r="82" ht="15.75" customHeight="1">
      <c r="A82" s="51">
        <v>46335.0</v>
      </c>
      <c r="B82" s="52" t="s">
        <v>117</v>
      </c>
      <c r="C82" s="40" t="s">
        <v>40</v>
      </c>
      <c r="D82" s="49"/>
      <c r="E82" s="53"/>
      <c r="F82" s="49"/>
      <c r="G82" s="44" t="str">
        <f t="shared" si="1"/>
        <v/>
      </c>
      <c r="H82" s="46">
        <f t="shared" si="2"/>
        <v>0</v>
      </c>
      <c r="I82" s="47"/>
    </row>
    <row r="83" ht="15.75" customHeight="1">
      <c r="A83" s="51">
        <v>46335.0</v>
      </c>
      <c r="B83" s="52" t="s">
        <v>117</v>
      </c>
      <c r="C83" s="40" t="s">
        <v>36</v>
      </c>
      <c r="D83" s="49"/>
      <c r="E83" s="53"/>
      <c r="F83" s="49"/>
      <c r="G83" s="44" t="str">
        <f t="shared" si="1"/>
        <v/>
      </c>
      <c r="H83" s="46">
        <f t="shared" si="2"/>
        <v>0</v>
      </c>
      <c r="I83" s="47"/>
    </row>
    <row r="84" ht="15.75" customHeight="1">
      <c r="A84" s="38">
        <v>46342.0</v>
      </c>
      <c r="B84" s="39" t="s">
        <v>110</v>
      </c>
      <c r="C84" s="40" t="s">
        <v>48</v>
      </c>
      <c r="D84" s="49"/>
      <c r="E84" s="53"/>
      <c r="F84" s="49"/>
      <c r="G84" s="44" t="str">
        <f t="shared" si="1"/>
        <v/>
      </c>
      <c r="H84" s="46">
        <f t="shared" si="2"/>
        <v>0</v>
      </c>
      <c r="I84" s="47"/>
    </row>
    <row r="85" ht="15.75" customHeight="1">
      <c r="A85" s="38">
        <v>46342.0</v>
      </c>
      <c r="B85" s="39" t="s">
        <v>110</v>
      </c>
      <c r="C85" s="40" t="s">
        <v>13</v>
      </c>
      <c r="D85" s="49"/>
      <c r="E85" s="53"/>
      <c r="F85" s="49"/>
      <c r="G85" s="44" t="str">
        <f t="shared" si="1"/>
        <v/>
      </c>
      <c r="H85" s="46">
        <f t="shared" si="2"/>
        <v>0</v>
      </c>
      <c r="I85" s="47"/>
    </row>
    <row r="86" ht="15.75" customHeight="1">
      <c r="A86" s="38">
        <v>46342.0</v>
      </c>
      <c r="B86" s="39" t="s">
        <v>110</v>
      </c>
      <c r="C86" s="40" t="s">
        <v>10</v>
      </c>
      <c r="D86" s="42"/>
      <c r="E86" s="43"/>
      <c r="F86" s="49"/>
      <c r="G86" s="44" t="str">
        <f t="shared" si="1"/>
        <v/>
      </c>
      <c r="H86" s="46">
        <f t="shared" si="2"/>
        <v>0</v>
      </c>
      <c r="I86" s="47"/>
    </row>
    <row r="87" ht="15.75" customHeight="1">
      <c r="A87" s="51">
        <v>46342.0</v>
      </c>
      <c r="B87" s="52" t="s">
        <v>117</v>
      </c>
      <c r="C87" s="40" t="s">
        <v>58</v>
      </c>
      <c r="D87" s="49"/>
      <c r="E87" s="53"/>
      <c r="F87" s="49"/>
      <c r="G87" s="44" t="str">
        <f t="shared" si="1"/>
        <v/>
      </c>
      <c r="H87" s="46">
        <f t="shared" si="2"/>
        <v>0</v>
      </c>
      <c r="I87" s="47"/>
    </row>
    <row r="88" ht="15.75" customHeight="1">
      <c r="A88" s="51">
        <v>46342.0</v>
      </c>
      <c r="B88" s="52" t="s">
        <v>117</v>
      </c>
      <c r="C88" s="40" t="s">
        <v>23</v>
      </c>
      <c r="D88" s="49"/>
      <c r="E88" s="53"/>
      <c r="F88" s="49"/>
      <c r="G88" s="44" t="str">
        <f t="shared" si="1"/>
        <v/>
      </c>
      <c r="H88" s="46">
        <f t="shared" si="2"/>
        <v>0</v>
      </c>
      <c r="I88" s="47"/>
    </row>
    <row r="89" ht="15.75" customHeight="1">
      <c r="A89" s="51">
        <v>46342.0</v>
      </c>
      <c r="B89" s="52" t="s">
        <v>117</v>
      </c>
      <c r="C89" s="40" t="s">
        <v>40</v>
      </c>
      <c r="D89" s="49"/>
      <c r="E89" s="53"/>
      <c r="F89" s="49"/>
      <c r="G89" s="44" t="str">
        <f t="shared" si="1"/>
        <v/>
      </c>
      <c r="H89" s="46">
        <f t="shared" si="2"/>
        <v>0</v>
      </c>
      <c r="I89" s="47"/>
    </row>
    <row r="90" ht="15.75" customHeight="1">
      <c r="A90" s="51">
        <v>46342.0</v>
      </c>
      <c r="B90" s="52" t="s">
        <v>117</v>
      </c>
      <c r="C90" s="40" t="s">
        <v>36</v>
      </c>
      <c r="D90" s="49"/>
      <c r="E90" s="53"/>
      <c r="F90" s="49"/>
      <c r="G90" s="44" t="str">
        <f t="shared" si="1"/>
        <v/>
      </c>
      <c r="H90" s="46">
        <f t="shared" si="2"/>
        <v>0</v>
      </c>
      <c r="I90" s="47"/>
    </row>
    <row r="91" ht="15.75" customHeight="1">
      <c r="A91" s="38">
        <v>46349.0</v>
      </c>
      <c r="B91" s="39" t="s">
        <v>110</v>
      </c>
      <c r="C91" s="40" t="s">
        <v>48</v>
      </c>
      <c r="D91" s="49"/>
      <c r="E91" s="53"/>
      <c r="F91" s="49"/>
      <c r="G91" s="44" t="str">
        <f t="shared" si="1"/>
        <v/>
      </c>
      <c r="H91" s="46">
        <f t="shared" si="2"/>
        <v>0</v>
      </c>
      <c r="I91" s="47"/>
    </row>
    <row r="92" ht="15.75" customHeight="1">
      <c r="A92" s="38">
        <v>46349.0</v>
      </c>
      <c r="B92" s="39" t="s">
        <v>110</v>
      </c>
      <c r="C92" s="40" t="s">
        <v>13</v>
      </c>
      <c r="D92" s="49"/>
      <c r="E92" s="53"/>
      <c r="F92" s="49"/>
      <c r="G92" s="44" t="str">
        <f t="shared" si="1"/>
        <v/>
      </c>
      <c r="H92" s="46">
        <f t="shared" si="2"/>
        <v>0</v>
      </c>
      <c r="I92" s="47"/>
    </row>
    <row r="93" ht="15.75" customHeight="1">
      <c r="A93" s="38">
        <v>46349.0</v>
      </c>
      <c r="B93" s="39" t="s">
        <v>110</v>
      </c>
      <c r="C93" s="40" t="s">
        <v>10</v>
      </c>
      <c r="D93" s="49"/>
      <c r="E93" s="53"/>
      <c r="F93" s="49"/>
      <c r="G93" s="44" t="str">
        <f t="shared" si="1"/>
        <v/>
      </c>
      <c r="H93" s="46">
        <f t="shared" si="2"/>
        <v>0</v>
      </c>
      <c r="I93" s="47"/>
    </row>
    <row r="94" ht="15.75" customHeight="1">
      <c r="A94" s="51">
        <v>46349.0</v>
      </c>
      <c r="B94" s="52" t="s">
        <v>117</v>
      </c>
      <c r="C94" s="40" t="s">
        <v>58</v>
      </c>
      <c r="D94" s="49"/>
      <c r="E94" s="53"/>
      <c r="F94" s="49"/>
      <c r="G94" s="44" t="str">
        <f t="shared" si="1"/>
        <v/>
      </c>
      <c r="H94" s="46">
        <f t="shared" si="2"/>
        <v>0</v>
      </c>
      <c r="I94" s="47"/>
    </row>
    <row r="95" ht="15.75" customHeight="1">
      <c r="A95" s="51">
        <v>46349.0</v>
      </c>
      <c r="B95" s="52" t="s">
        <v>117</v>
      </c>
      <c r="C95" s="40" t="s">
        <v>23</v>
      </c>
      <c r="D95" s="49"/>
      <c r="E95" s="53"/>
      <c r="F95" s="49"/>
      <c r="G95" s="44" t="str">
        <f t="shared" si="1"/>
        <v/>
      </c>
      <c r="H95" s="46">
        <f t="shared" si="2"/>
        <v>0</v>
      </c>
      <c r="I95" s="47"/>
    </row>
    <row r="96" ht="15.75" customHeight="1">
      <c r="A96" s="51">
        <v>46349.0</v>
      </c>
      <c r="B96" s="52" t="s">
        <v>117</v>
      </c>
      <c r="C96" s="40" t="s">
        <v>40</v>
      </c>
      <c r="D96" s="49"/>
      <c r="E96" s="53"/>
      <c r="F96" s="49"/>
      <c r="G96" s="44" t="str">
        <f t="shared" si="1"/>
        <v/>
      </c>
      <c r="H96" s="46">
        <f t="shared" si="2"/>
        <v>0</v>
      </c>
      <c r="I96" s="47"/>
    </row>
    <row r="97" ht="15.75" customHeight="1">
      <c r="A97" s="51">
        <v>46349.0</v>
      </c>
      <c r="B97" s="52" t="s">
        <v>117</v>
      </c>
      <c r="C97" s="40" t="s">
        <v>36</v>
      </c>
      <c r="D97" s="49"/>
      <c r="E97" s="53"/>
      <c r="F97" s="49"/>
      <c r="G97" s="44" t="str">
        <f t="shared" si="1"/>
        <v/>
      </c>
      <c r="H97" s="46">
        <f t="shared" si="2"/>
        <v>0</v>
      </c>
      <c r="I97" s="47"/>
    </row>
    <row r="98" ht="15.75" customHeight="1">
      <c r="A98" s="38">
        <v>46356.0</v>
      </c>
      <c r="B98" s="39" t="s">
        <v>110</v>
      </c>
      <c r="C98" s="40" t="s">
        <v>48</v>
      </c>
      <c r="D98" s="49"/>
      <c r="E98" s="53"/>
      <c r="F98" s="49"/>
      <c r="G98" s="44" t="str">
        <f t="shared" si="1"/>
        <v/>
      </c>
      <c r="H98" s="46">
        <f t="shared" si="2"/>
        <v>0</v>
      </c>
      <c r="I98" s="47"/>
    </row>
    <row r="99" ht="15.75" customHeight="1">
      <c r="A99" s="38">
        <v>46356.0</v>
      </c>
      <c r="B99" s="39" t="s">
        <v>110</v>
      </c>
      <c r="C99" s="40" t="s">
        <v>13</v>
      </c>
      <c r="D99" s="49"/>
      <c r="E99" s="53"/>
      <c r="F99" s="49"/>
      <c r="G99" s="44" t="str">
        <f t="shared" si="1"/>
        <v/>
      </c>
      <c r="H99" s="46">
        <f t="shared" si="2"/>
        <v>0</v>
      </c>
      <c r="I99" s="47"/>
    </row>
    <row r="100" ht="15.75" customHeight="1">
      <c r="A100" s="38">
        <v>46356.0</v>
      </c>
      <c r="B100" s="39" t="s">
        <v>110</v>
      </c>
      <c r="C100" s="40" t="s">
        <v>10</v>
      </c>
      <c r="D100" s="49"/>
      <c r="E100" s="53"/>
      <c r="F100" s="49"/>
      <c r="G100" s="44" t="str">
        <f t="shared" si="1"/>
        <v/>
      </c>
      <c r="H100" s="46">
        <f t="shared" si="2"/>
        <v>0</v>
      </c>
      <c r="I100" s="47"/>
    </row>
    <row r="101" ht="15.75" customHeight="1">
      <c r="A101" s="51">
        <v>46356.0</v>
      </c>
      <c r="B101" s="52" t="s">
        <v>117</v>
      </c>
      <c r="C101" s="40" t="s">
        <v>58</v>
      </c>
      <c r="D101" s="49"/>
      <c r="E101" s="53"/>
      <c r="F101" s="49"/>
      <c r="G101" s="44" t="str">
        <f t="shared" si="1"/>
        <v/>
      </c>
      <c r="H101" s="46">
        <f t="shared" si="2"/>
        <v>0</v>
      </c>
      <c r="I101" s="47"/>
    </row>
    <row r="102" ht="15.75" customHeight="1">
      <c r="A102" s="51">
        <v>46356.0</v>
      </c>
      <c r="B102" s="52" t="s">
        <v>117</v>
      </c>
      <c r="C102" s="40" t="s">
        <v>23</v>
      </c>
      <c r="D102" s="49"/>
      <c r="E102" s="53"/>
      <c r="F102" s="49"/>
      <c r="G102" s="44" t="str">
        <f t="shared" si="1"/>
        <v/>
      </c>
      <c r="H102" s="46">
        <f t="shared" si="2"/>
        <v>0</v>
      </c>
      <c r="I102" s="47"/>
    </row>
    <row r="103" ht="15.75" customHeight="1">
      <c r="A103" s="51">
        <v>46356.0</v>
      </c>
      <c r="B103" s="52" t="s">
        <v>117</v>
      </c>
      <c r="C103" s="40" t="s">
        <v>40</v>
      </c>
      <c r="D103" s="49"/>
      <c r="E103" s="53"/>
      <c r="F103" s="49"/>
      <c r="G103" s="44" t="str">
        <f t="shared" si="1"/>
        <v/>
      </c>
      <c r="H103" s="46">
        <f t="shared" si="2"/>
        <v>0</v>
      </c>
      <c r="I103" s="47"/>
    </row>
    <row r="104" ht="15.75" customHeight="1">
      <c r="A104" s="51">
        <v>46356.0</v>
      </c>
      <c r="B104" s="52" t="s">
        <v>117</v>
      </c>
      <c r="C104" s="40" t="s">
        <v>36</v>
      </c>
      <c r="D104" s="49"/>
      <c r="E104" s="53"/>
      <c r="F104" s="49"/>
      <c r="G104" s="44" t="str">
        <f t="shared" si="1"/>
        <v/>
      </c>
      <c r="H104" s="46">
        <f t="shared" si="2"/>
        <v>0</v>
      </c>
      <c r="I104" s="47"/>
    </row>
    <row r="105" ht="15.75" customHeight="1">
      <c r="A105" s="38">
        <v>46363.0</v>
      </c>
      <c r="B105" s="39" t="s">
        <v>110</v>
      </c>
      <c r="C105" s="40" t="s">
        <v>48</v>
      </c>
      <c r="D105" s="49"/>
      <c r="E105" s="53"/>
      <c r="F105" s="49"/>
      <c r="G105" s="44" t="str">
        <f t="shared" si="1"/>
        <v/>
      </c>
      <c r="H105" s="46">
        <f t="shared" si="2"/>
        <v>0</v>
      </c>
      <c r="I105" s="47"/>
    </row>
    <row r="106" ht="15.75" customHeight="1">
      <c r="A106" s="38">
        <v>46363.0</v>
      </c>
      <c r="B106" s="39" t="s">
        <v>110</v>
      </c>
      <c r="C106" s="40" t="s">
        <v>13</v>
      </c>
      <c r="D106" s="49"/>
      <c r="E106" s="53"/>
      <c r="F106" s="49"/>
      <c r="G106" s="44" t="str">
        <f t="shared" si="1"/>
        <v/>
      </c>
      <c r="H106" s="46">
        <f t="shared" si="2"/>
        <v>0</v>
      </c>
      <c r="I106" s="47"/>
    </row>
    <row r="107" ht="15.75" customHeight="1">
      <c r="A107" s="38">
        <v>46363.0</v>
      </c>
      <c r="B107" s="39" t="s">
        <v>110</v>
      </c>
      <c r="C107" s="40" t="s">
        <v>10</v>
      </c>
      <c r="D107" s="49"/>
      <c r="E107" s="53"/>
      <c r="F107" s="49"/>
      <c r="G107" s="44" t="str">
        <f t="shared" si="1"/>
        <v/>
      </c>
      <c r="H107" s="46">
        <f t="shared" si="2"/>
        <v>0</v>
      </c>
      <c r="I107" s="47"/>
    </row>
    <row r="108" ht="15.75" customHeight="1">
      <c r="A108" s="51">
        <v>46363.0</v>
      </c>
      <c r="B108" s="52" t="s">
        <v>117</v>
      </c>
      <c r="C108" s="40" t="s">
        <v>58</v>
      </c>
      <c r="D108" s="49"/>
      <c r="E108" s="53"/>
      <c r="F108" s="49"/>
      <c r="G108" s="44" t="str">
        <f t="shared" si="1"/>
        <v/>
      </c>
      <c r="H108" s="46">
        <f t="shared" si="2"/>
        <v>0</v>
      </c>
      <c r="I108" s="47"/>
    </row>
    <row r="109" ht="15.75" customHeight="1">
      <c r="A109" s="51">
        <v>46363.0</v>
      </c>
      <c r="B109" s="52" t="s">
        <v>117</v>
      </c>
      <c r="C109" s="40" t="s">
        <v>23</v>
      </c>
      <c r="D109" s="49"/>
      <c r="E109" s="53"/>
      <c r="F109" s="49"/>
      <c r="G109" s="44" t="str">
        <f t="shared" si="1"/>
        <v/>
      </c>
      <c r="H109" s="46">
        <f t="shared" si="2"/>
        <v>0</v>
      </c>
      <c r="I109" s="47"/>
    </row>
    <row r="110" ht="15.75" customHeight="1">
      <c r="A110" s="51">
        <v>46363.0</v>
      </c>
      <c r="B110" s="52" t="s">
        <v>117</v>
      </c>
      <c r="C110" s="40" t="s">
        <v>40</v>
      </c>
      <c r="D110" s="49"/>
      <c r="E110" s="53"/>
      <c r="F110" s="49"/>
      <c r="G110" s="44" t="str">
        <f t="shared" si="1"/>
        <v/>
      </c>
      <c r="H110" s="46">
        <f t="shared" si="2"/>
        <v>0</v>
      </c>
      <c r="I110" s="47"/>
    </row>
    <row r="111" ht="15.75" customHeight="1">
      <c r="A111" s="51">
        <v>46363.0</v>
      </c>
      <c r="B111" s="52" t="s">
        <v>117</v>
      </c>
      <c r="C111" s="40" t="s">
        <v>36</v>
      </c>
      <c r="D111" s="49"/>
      <c r="E111" s="53"/>
      <c r="F111" s="49"/>
      <c r="G111" s="44" t="str">
        <f t="shared" si="1"/>
        <v/>
      </c>
      <c r="H111" s="46">
        <f t="shared" si="2"/>
        <v>0</v>
      </c>
      <c r="I111" s="47"/>
    </row>
    <row r="112" ht="15.75" customHeight="1">
      <c r="A112" s="38">
        <v>46370.0</v>
      </c>
      <c r="B112" s="39" t="s">
        <v>110</v>
      </c>
      <c r="C112" s="40" t="s">
        <v>48</v>
      </c>
      <c r="D112" s="49"/>
      <c r="E112" s="53"/>
      <c r="F112" s="49"/>
      <c r="G112" s="44" t="str">
        <f t="shared" si="1"/>
        <v/>
      </c>
      <c r="H112" s="46">
        <f t="shared" si="2"/>
        <v>0</v>
      </c>
      <c r="I112" s="47"/>
    </row>
    <row r="113" ht="15.75" customHeight="1">
      <c r="A113" s="38">
        <v>46370.0</v>
      </c>
      <c r="B113" s="39" t="s">
        <v>110</v>
      </c>
      <c r="C113" s="40" t="s">
        <v>13</v>
      </c>
      <c r="D113" s="49"/>
      <c r="E113" s="53"/>
      <c r="F113" s="49"/>
      <c r="G113" s="44" t="str">
        <f t="shared" si="1"/>
        <v/>
      </c>
      <c r="H113" s="46">
        <f t="shared" si="2"/>
        <v>0</v>
      </c>
      <c r="I113" s="47"/>
    </row>
    <row r="114" ht="15.75" customHeight="1">
      <c r="A114" s="38">
        <v>46370.0</v>
      </c>
      <c r="B114" s="39" t="s">
        <v>110</v>
      </c>
      <c r="C114" s="40" t="s">
        <v>10</v>
      </c>
      <c r="D114" s="49"/>
      <c r="E114" s="53"/>
      <c r="F114" s="49"/>
      <c r="G114" s="44" t="str">
        <f t="shared" si="1"/>
        <v/>
      </c>
      <c r="H114" s="46">
        <f t="shared" si="2"/>
        <v>0</v>
      </c>
      <c r="I114" s="47"/>
    </row>
    <row r="115" ht="15.75" customHeight="1">
      <c r="A115" s="51">
        <v>46370.0</v>
      </c>
      <c r="B115" s="52" t="s">
        <v>117</v>
      </c>
      <c r="C115" s="40" t="s">
        <v>58</v>
      </c>
      <c r="D115" s="49"/>
      <c r="E115" s="53"/>
      <c r="F115" s="49"/>
      <c r="G115" s="44" t="str">
        <f t="shared" si="1"/>
        <v/>
      </c>
      <c r="H115" s="46">
        <f t="shared" si="2"/>
        <v>0</v>
      </c>
      <c r="I115" s="47"/>
    </row>
    <row r="116" ht="15.75" customHeight="1">
      <c r="A116" s="51">
        <v>46370.0</v>
      </c>
      <c r="B116" s="52" t="s">
        <v>117</v>
      </c>
      <c r="C116" s="40" t="s">
        <v>23</v>
      </c>
      <c r="D116" s="49"/>
      <c r="E116" s="53"/>
      <c r="F116" s="49"/>
      <c r="G116" s="44" t="str">
        <f t="shared" si="1"/>
        <v/>
      </c>
      <c r="H116" s="46">
        <f t="shared" si="2"/>
        <v>0</v>
      </c>
      <c r="I116" s="47"/>
    </row>
    <row r="117" ht="15.75" customHeight="1">
      <c r="A117" s="51">
        <v>46370.0</v>
      </c>
      <c r="B117" s="52" t="s">
        <v>117</v>
      </c>
      <c r="C117" s="40" t="s">
        <v>40</v>
      </c>
      <c r="D117" s="49"/>
      <c r="E117" s="53"/>
      <c r="F117" s="49"/>
      <c r="G117" s="44" t="str">
        <f t="shared" si="1"/>
        <v/>
      </c>
      <c r="H117" s="46">
        <f t="shared" si="2"/>
        <v>0</v>
      </c>
      <c r="I117" s="47"/>
    </row>
    <row r="118" ht="15.75" customHeight="1">
      <c r="A118" s="51">
        <v>46370.0</v>
      </c>
      <c r="B118" s="52" t="s">
        <v>117</v>
      </c>
      <c r="C118" s="40" t="s">
        <v>36</v>
      </c>
      <c r="D118" s="49"/>
      <c r="E118" s="53"/>
      <c r="F118" s="49"/>
      <c r="G118" s="44" t="str">
        <f t="shared" si="1"/>
        <v/>
      </c>
      <c r="H118" s="46">
        <f t="shared" si="2"/>
        <v>0</v>
      </c>
      <c r="I118" s="47"/>
    </row>
    <row r="119" ht="15.75" customHeight="1">
      <c r="A119" s="38">
        <v>46377.0</v>
      </c>
      <c r="B119" s="39" t="s">
        <v>110</v>
      </c>
      <c r="C119" s="40" t="s">
        <v>48</v>
      </c>
      <c r="D119" s="49"/>
      <c r="E119" s="53"/>
      <c r="F119" s="49"/>
      <c r="G119" s="44" t="str">
        <f t="shared" si="1"/>
        <v/>
      </c>
      <c r="H119" s="46">
        <f t="shared" si="2"/>
        <v>0</v>
      </c>
      <c r="I119" s="47"/>
    </row>
    <row r="120" ht="15.75" customHeight="1">
      <c r="A120" s="38">
        <v>46377.0</v>
      </c>
      <c r="B120" s="39" t="s">
        <v>110</v>
      </c>
      <c r="C120" s="40" t="s">
        <v>13</v>
      </c>
      <c r="D120" s="49"/>
      <c r="E120" s="53"/>
      <c r="F120" s="49"/>
      <c r="G120" s="44" t="str">
        <f t="shared" si="1"/>
        <v/>
      </c>
      <c r="H120" s="46">
        <f t="shared" si="2"/>
        <v>0</v>
      </c>
      <c r="I120" s="47"/>
    </row>
    <row r="121" ht="15.75" customHeight="1">
      <c r="A121" s="38">
        <v>46377.0</v>
      </c>
      <c r="B121" s="39" t="s">
        <v>110</v>
      </c>
      <c r="C121" s="40" t="s">
        <v>10</v>
      </c>
      <c r="D121" s="49"/>
      <c r="E121" s="53"/>
      <c r="F121" s="49"/>
      <c r="G121" s="44" t="str">
        <f t="shared" si="1"/>
        <v/>
      </c>
      <c r="H121" s="46">
        <f t="shared" si="2"/>
        <v>0</v>
      </c>
      <c r="I121" s="47"/>
    </row>
    <row r="122" ht="15.75" customHeight="1">
      <c r="A122" s="51">
        <v>46377.0</v>
      </c>
      <c r="B122" s="52" t="s">
        <v>117</v>
      </c>
      <c r="C122" s="40" t="s">
        <v>58</v>
      </c>
      <c r="D122" s="49"/>
      <c r="E122" s="53"/>
      <c r="F122" s="49"/>
      <c r="G122" s="44" t="str">
        <f t="shared" si="1"/>
        <v/>
      </c>
      <c r="H122" s="46">
        <f t="shared" si="2"/>
        <v>0</v>
      </c>
      <c r="I122" s="47"/>
    </row>
    <row r="123" ht="15.75" customHeight="1">
      <c r="A123" s="51">
        <v>46377.0</v>
      </c>
      <c r="B123" s="52" t="s">
        <v>117</v>
      </c>
      <c r="C123" s="40" t="s">
        <v>23</v>
      </c>
      <c r="D123" s="49"/>
      <c r="E123" s="53"/>
      <c r="F123" s="49"/>
      <c r="G123" s="44" t="str">
        <f t="shared" si="1"/>
        <v/>
      </c>
      <c r="H123" s="46">
        <f t="shared" si="2"/>
        <v>0</v>
      </c>
      <c r="I123" s="47"/>
    </row>
    <row r="124" ht="15.75" customHeight="1">
      <c r="A124" s="51">
        <v>46377.0</v>
      </c>
      <c r="B124" s="52" t="s">
        <v>117</v>
      </c>
      <c r="C124" s="40" t="s">
        <v>40</v>
      </c>
      <c r="D124" s="49"/>
      <c r="E124" s="53"/>
      <c r="F124" s="49"/>
      <c r="G124" s="44" t="str">
        <f t="shared" si="1"/>
        <v/>
      </c>
      <c r="H124" s="46">
        <f t="shared" si="2"/>
        <v>0</v>
      </c>
      <c r="I124" s="47"/>
    </row>
    <row r="125" ht="15.75" customHeight="1">
      <c r="A125" s="51">
        <v>46377.0</v>
      </c>
      <c r="B125" s="52" t="s">
        <v>117</v>
      </c>
      <c r="C125" s="40" t="s">
        <v>36</v>
      </c>
      <c r="D125" s="49"/>
      <c r="E125" s="53"/>
      <c r="F125" s="49"/>
      <c r="G125" s="44" t="str">
        <f t="shared" si="1"/>
        <v/>
      </c>
      <c r="H125" s="46">
        <f t="shared" si="2"/>
        <v>0</v>
      </c>
      <c r="I125" s="47"/>
    </row>
    <row r="126" ht="15.75" customHeight="1">
      <c r="A126" s="38">
        <v>46384.0</v>
      </c>
      <c r="B126" s="39" t="s">
        <v>110</v>
      </c>
      <c r="C126" s="40" t="s">
        <v>48</v>
      </c>
      <c r="D126" s="49"/>
      <c r="E126" s="53"/>
      <c r="F126" s="49"/>
      <c r="G126" s="44" t="str">
        <f t="shared" si="1"/>
        <v/>
      </c>
      <c r="H126" s="46">
        <f t="shared" si="2"/>
        <v>0</v>
      </c>
      <c r="I126" s="47"/>
    </row>
    <row r="127" ht="15.75" customHeight="1">
      <c r="A127" s="38">
        <v>46384.0</v>
      </c>
      <c r="B127" s="39" t="s">
        <v>110</v>
      </c>
      <c r="C127" s="40" t="s">
        <v>13</v>
      </c>
      <c r="D127" s="49"/>
      <c r="E127" s="53"/>
      <c r="F127" s="49"/>
      <c r="G127" s="44" t="str">
        <f t="shared" si="1"/>
        <v/>
      </c>
      <c r="H127" s="46">
        <f t="shared" si="2"/>
        <v>0</v>
      </c>
      <c r="I127" s="47"/>
    </row>
    <row r="128" ht="15.75" customHeight="1">
      <c r="A128" s="38">
        <v>46384.0</v>
      </c>
      <c r="B128" s="39" t="s">
        <v>110</v>
      </c>
      <c r="C128" s="40" t="s">
        <v>10</v>
      </c>
      <c r="D128" s="49"/>
      <c r="E128" s="53"/>
      <c r="F128" s="49"/>
      <c r="G128" s="44" t="str">
        <f t="shared" si="1"/>
        <v/>
      </c>
      <c r="H128" s="46">
        <f t="shared" si="2"/>
        <v>0</v>
      </c>
      <c r="I128" s="47"/>
    </row>
    <row r="129" ht="15.75" customHeight="1">
      <c r="A129" s="51">
        <v>46384.0</v>
      </c>
      <c r="B129" s="52" t="s">
        <v>117</v>
      </c>
      <c r="C129" s="40" t="s">
        <v>58</v>
      </c>
      <c r="D129" s="49"/>
      <c r="E129" s="53"/>
      <c r="F129" s="49"/>
      <c r="G129" s="44" t="str">
        <f t="shared" si="1"/>
        <v/>
      </c>
      <c r="H129" s="46">
        <f t="shared" si="2"/>
        <v>0</v>
      </c>
      <c r="I129" s="47"/>
    </row>
    <row r="130" ht="15.75" customHeight="1">
      <c r="A130" s="51">
        <v>46384.0</v>
      </c>
      <c r="B130" s="52" t="s">
        <v>117</v>
      </c>
      <c r="C130" s="40" t="s">
        <v>23</v>
      </c>
      <c r="D130" s="49"/>
      <c r="E130" s="53"/>
      <c r="F130" s="49"/>
      <c r="G130" s="44" t="str">
        <f t="shared" si="1"/>
        <v/>
      </c>
      <c r="H130" s="46">
        <f t="shared" si="2"/>
        <v>0</v>
      </c>
      <c r="I130" s="47"/>
    </row>
    <row r="131" ht="15.75" customHeight="1">
      <c r="A131" s="51">
        <v>46384.0</v>
      </c>
      <c r="B131" s="52" t="s">
        <v>117</v>
      </c>
      <c r="C131" s="40" t="s">
        <v>40</v>
      </c>
      <c r="D131" s="49"/>
      <c r="E131" s="53"/>
      <c r="F131" s="49"/>
      <c r="G131" s="44" t="str">
        <f t="shared" si="1"/>
        <v/>
      </c>
      <c r="H131" s="46">
        <f t="shared" si="2"/>
        <v>0</v>
      </c>
      <c r="I131" s="47"/>
    </row>
    <row r="132" ht="15.75" customHeight="1">
      <c r="A132" s="51">
        <v>46384.0</v>
      </c>
      <c r="B132" s="52" t="s">
        <v>117</v>
      </c>
      <c r="C132" s="40" t="s">
        <v>36</v>
      </c>
      <c r="D132" s="49"/>
      <c r="E132" s="53"/>
      <c r="F132" s="49"/>
      <c r="G132" s="44" t="str">
        <f t="shared" si="1"/>
        <v/>
      </c>
      <c r="H132" s="46">
        <f t="shared" si="2"/>
        <v>0</v>
      </c>
      <c r="I132" s="47"/>
    </row>
    <row r="133" ht="15.75" customHeight="1">
      <c r="A133" s="38">
        <v>46391.0</v>
      </c>
      <c r="B133" s="39" t="s">
        <v>110</v>
      </c>
      <c r="C133" s="40" t="s">
        <v>48</v>
      </c>
      <c r="D133" s="49"/>
      <c r="E133" s="53"/>
      <c r="F133" s="49"/>
      <c r="G133" s="44" t="str">
        <f t="shared" si="1"/>
        <v/>
      </c>
      <c r="H133" s="46">
        <f t="shared" si="2"/>
        <v>0</v>
      </c>
      <c r="I133" s="47"/>
    </row>
    <row r="134" ht="15.75" customHeight="1">
      <c r="A134" s="38">
        <v>46391.0</v>
      </c>
      <c r="B134" s="39" t="s">
        <v>110</v>
      </c>
      <c r="C134" s="40" t="s">
        <v>13</v>
      </c>
      <c r="D134" s="49"/>
      <c r="E134" s="53"/>
      <c r="F134" s="49"/>
      <c r="G134" s="44" t="str">
        <f t="shared" si="1"/>
        <v/>
      </c>
      <c r="H134" s="46">
        <f t="shared" si="2"/>
        <v>0</v>
      </c>
      <c r="I134" s="47"/>
    </row>
    <row r="135" ht="15.75" customHeight="1">
      <c r="A135" s="38">
        <v>46391.0</v>
      </c>
      <c r="B135" s="39" t="s">
        <v>110</v>
      </c>
      <c r="C135" s="40" t="s">
        <v>10</v>
      </c>
      <c r="D135" s="49"/>
      <c r="E135" s="53"/>
      <c r="F135" s="49"/>
      <c r="G135" s="44" t="str">
        <f t="shared" si="1"/>
        <v/>
      </c>
      <c r="H135" s="46">
        <f t="shared" si="2"/>
        <v>0</v>
      </c>
      <c r="I135" s="47"/>
    </row>
    <row r="136" ht="15.75" customHeight="1">
      <c r="A136" s="51">
        <v>46391.0</v>
      </c>
      <c r="B136" s="52" t="s">
        <v>117</v>
      </c>
      <c r="C136" s="40" t="s">
        <v>58</v>
      </c>
      <c r="D136" s="49"/>
      <c r="E136" s="53"/>
      <c r="F136" s="49"/>
      <c r="G136" s="44" t="str">
        <f t="shared" si="1"/>
        <v/>
      </c>
      <c r="H136" s="46">
        <f t="shared" si="2"/>
        <v>0</v>
      </c>
      <c r="I136" s="47"/>
    </row>
    <row r="137" ht="15.75" customHeight="1">
      <c r="A137" s="51">
        <v>46391.0</v>
      </c>
      <c r="B137" s="52" t="s">
        <v>117</v>
      </c>
      <c r="C137" s="40" t="s">
        <v>23</v>
      </c>
      <c r="D137" s="49"/>
      <c r="E137" s="53"/>
      <c r="F137" s="49"/>
      <c r="G137" s="44" t="str">
        <f t="shared" si="1"/>
        <v/>
      </c>
      <c r="H137" s="46">
        <f t="shared" si="2"/>
        <v>0</v>
      </c>
      <c r="I137" s="47"/>
    </row>
    <row r="138" ht="15.75" customHeight="1">
      <c r="A138" s="51">
        <v>46391.0</v>
      </c>
      <c r="B138" s="52" t="s">
        <v>117</v>
      </c>
      <c r="C138" s="40" t="s">
        <v>40</v>
      </c>
      <c r="D138" s="49"/>
      <c r="E138" s="53"/>
      <c r="F138" s="49"/>
      <c r="G138" s="44" t="str">
        <f t="shared" si="1"/>
        <v/>
      </c>
      <c r="H138" s="46">
        <f t="shared" si="2"/>
        <v>0</v>
      </c>
      <c r="I138" s="47"/>
    </row>
    <row r="139" ht="15.75" customHeight="1">
      <c r="A139" s="51">
        <v>46391.0</v>
      </c>
      <c r="B139" s="52" t="s">
        <v>117</v>
      </c>
      <c r="C139" s="40" t="s">
        <v>36</v>
      </c>
      <c r="D139" s="49"/>
      <c r="E139" s="53"/>
      <c r="F139" s="49"/>
      <c r="G139" s="44" t="str">
        <f t="shared" si="1"/>
        <v/>
      </c>
      <c r="H139" s="46">
        <f t="shared" si="2"/>
        <v>0</v>
      </c>
      <c r="I139" s="47"/>
    </row>
    <row r="140" ht="15.75" customHeight="1">
      <c r="A140" s="38">
        <v>46398.0</v>
      </c>
      <c r="B140" s="39" t="s">
        <v>110</v>
      </c>
      <c r="C140" s="40" t="s">
        <v>48</v>
      </c>
      <c r="D140" s="49"/>
      <c r="E140" s="53"/>
      <c r="F140" s="49"/>
      <c r="G140" s="44" t="str">
        <f t="shared" si="1"/>
        <v/>
      </c>
      <c r="H140" s="46">
        <f t="shared" si="2"/>
        <v>0</v>
      </c>
      <c r="I140" s="47"/>
    </row>
    <row r="141" ht="15.75" customHeight="1">
      <c r="A141" s="38">
        <v>46398.0</v>
      </c>
      <c r="B141" s="39" t="s">
        <v>110</v>
      </c>
      <c r="C141" s="40" t="s">
        <v>13</v>
      </c>
      <c r="D141" s="49"/>
      <c r="E141" s="53"/>
      <c r="F141" s="49"/>
      <c r="G141" s="44" t="str">
        <f t="shared" si="1"/>
        <v/>
      </c>
      <c r="H141" s="46">
        <f t="shared" si="2"/>
        <v>0</v>
      </c>
      <c r="I141" s="47"/>
    </row>
    <row r="142" ht="15.75" customHeight="1">
      <c r="A142" s="38">
        <v>46398.0</v>
      </c>
      <c r="B142" s="39" t="s">
        <v>110</v>
      </c>
      <c r="C142" s="40" t="s">
        <v>10</v>
      </c>
      <c r="D142" s="49"/>
      <c r="E142" s="53"/>
      <c r="F142" s="49"/>
      <c r="G142" s="44" t="str">
        <f t="shared" si="1"/>
        <v/>
      </c>
      <c r="H142" s="46">
        <f t="shared" si="2"/>
        <v>0</v>
      </c>
      <c r="I142" s="47"/>
    </row>
    <row r="143" ht="15.75" customHeight="1">
      <c r="A143" s="51">
        <v>46398.0</v>
      </c>
      <c r="B143" s="52" t="s">
        <v>117</v>
      </c>
      <c r="C143" s="40" t="s">
        <v>58</v>
      </c>
      <c r="D143" s="49"/>
      <c r="E143" s="53"/>
      <c r="F143" s="49"/>
      <c r="G143" s="44" t="str">
        <f t="shared" si="1"/>
        <v/>
      </c>
      <c r="H143" s="46">
        <f t="shared" si="2"/>
        <v>0</v>
      </c>
      <c r="I143" s="47"/>
    </row>
    <row r="144" ht="15.75" customHeight="1">
      <c r="A144" s="51">
        <v>46398.0</v>
      </c>
      <c r="B144" s="52" t="s">
        <v>117</v>
      </c>
      <c r="C144" s="40" t="s">
        <v>23</v>
      </c>
      <c r="D144" s="49"/>
      <c r="E144" s="53"/>
      <c r="F144" s="49"/>
      <c r="G144" s="44" t="str">
        <f t="shared" si="1"/>
        <v/>
      </c>
      <c r="H144" s="46">
        <f t="shared" si="2"/>
        <v>0</v>
      </c>
      <c r="I144" s="47"/>
    </row>
    <row r="145" ht="15.75" customHeight="1">
      <c r="A145" s="51">
        <v>46398.0</v>
      </c>
      <c r="B145" s="52" t="s">
        <v>117</v>
      </c>
      <c r="C145" s="40" t="s">
        <v>40</v>
      </c>
      <c r="D145" s="49"/>
      <c r="E145" s="53"/>
      <c r="F145" s="49"/>
      <c r="G145" s="44" t="str">
        <f t="shared" si="1"/>
        <v/>
      </c>
      <c r="H145" s="46">
        <f t="shared" si="2"/>
        <v>0</v>
      </c>
      <c r="I145" s="47"/>
    </row>
    <row r="146" ht="15.75" customHeight="1">
      <c r="A146" s="51">
        <v>46398.0</v>
      </c>
      <c r="B146" s="52" t="s">
        <v>117</v>
      </c>
      <c r="C146" s="40" t="s">
        <v>36</v>
      </c>
      <c r="D146" s="49"/>
      <c r="E146" s="53"/>
      <c r="F146" s="49"/>
      <c r="G146" s="44" t="str">
        <f t="shared" si="1"/>
        <v/>
      </c>
      <c r="H146" s="46">
        <f t="shared" si="2"/>
        <v>0</v>
      </c>
      <c r="I146" s="47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G7:G146">
    <cfRule type="containsText" dxfId="6" priority="1" operator="containsText" text="Tidak">
      <formula>NOT(ISERROR(SEARCH(("Tidak"),(G7))))</formula>
    </cfRule>
  </conditionalFormatting>
  <conditionalFormatting sqref="G7:G146">
    <cfRule type="containsText" dxfId="5" priority="2" operator="containsText" text="Ya">
      <formula>NOT(ISERROR(SEARCH(("Ya"),(G7))))</formula>
    </cfRule>
  </conditionalFormatting>
  <dataValidations>
    <dataValidation type="list" allowBlank="1" sqref="B7:B146">
      <formula1>"Pagi,Siang"</formula1>
    </dataValidation>
    <dataValidation type="custom" allowBlank="1" showDropDown="1" sqref="E7:E146">
      <formula1>OR(TIMEVALUE(TEXT(E7, "hh:mm:ss"))=E7, AND(ISNUMBER(E7), LEFT(CELL("format", E7))="D"))</formula1>
    </dataValidation>
    <dataValidation type="custom" allowBlank="1" sqref="A7:A146">
      <formula1>OR(NOT(ISERROR(DATEVALUE(A7))), AND(ISNUMBER(A7), LEFT(CELL("format", A7))="D"))</formula1>
    </dataValidation>
    <dataValidation type="list" allowBlank="1" sqref="G7:G146">
      <formula1>"Ya,Tidak"</formula1>
    </dataValidation>
    <dataValidation type="list" allowBlank="1" sqref="F7:F146">
      <formula1>"Ya,Tidak"</formula1>
    </dataValidation>
    <dataValidation type="custom" allowBlank="1" sqref="H7:H146">
      <formula1/>
    </dataValidation>
    <dataValidation type="list" allowBlank="1" sqref="D7:D146">
      <formula1>"Hadir,Tidak Hadir"</formula1>
    </dataValidation>
    <dataValidation type="list" allowBlank="1" sqref="I7:I146">
      <formula1>"Lunas,Belum Lunas"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86"/>
    <col customWidth="1" min="2" max="2" width="11.71"/>
    <col customWidth="1" min="3" max="3" width="32.43"/>
    <col customWidth="1" min="4" max="4" width="15.14"/>
    <col customWidth="1" min="5" max="5" width="20.29"/>
    <col customWidth="1" min="6" max="6" width="22.57"/>
    <col customWidth="1" min="7" max="7" width="14.86"/>
    <col customWidth="1" min="8" max="8" width="22.43"/>
    <col customWidth="1" min="9" max="9" width="22.14"/>
  </cols>
  <sheetData>
    <row r="1" ht="18.0" customHeight="1">
      <c r="A1" s="5" t="s">
        <v>113</v>
      </c>
      <c r="B1" s="6"/>
      <c r="C1" s="6"/>
      <c r="D1" s="6"/>
      <c r="E1" s="6"/>
      <c r="F1" s="6"/>
      <c r="G1" s="6"/>
      <c r="H1" s="7"/>
    </row>
    <row r="2" ht="14.25" customHeight="1">
      <c r="A2" s="24" t="s">
        <v>74</v>
      </c>
    </row>
    <row r="3" ht="14.25" customHeight="1">
      <c r="A3" s="25" t="s">
        <v>84</v>
      </c>
      <c r="B3" s="48" t="s">
        <v>115</v>
      </c>
    </row>
    <row r="4" ht="14.25" customHeight="1">
      <c r="A4" s="25" t="s">
        <v>95</v>
      </c>
      <c r="B4" s="48" t="s">
        <v>116</v>
      </c>
    </row>
    <row r="6" ht="37.5" customHeight="1">
      <c r="A6" s="33" t="s">
        <v>97</v>
      </c>
      <c r="B6" s="33" t="s">
        <v>102</v>
      </c>
      <c r="C6" s="33" t="s">
        <v>8</v>
      </c>
      <c r="D6" s="33" t="s">
        <v>103</v>
      </c>
      <c r="E6" s="33" t="s">
        <v>104</v>
      </c>
      <c r="F6" s="33" t="s">
        <v>105</v>
      </c>
      <c r="G6" s="33" t="s">
        <v>106</v>
      </c>
      <c r="H6" s="33" t="s">
        <v>108</v>
      </c>
      <c r="I6" s="37" t="s">
        <v>109</v>
      </c>
    </row>
    <row r="7" ht="22.5" customHeight="1">
      <c r="A7" s="38">
        <v>46266.0</v>
      </c>
      <c r="B7" s="39" t="s">
        <v>110</v>
      </c>
      <c r="C7" s="50" t="s">
        <v>25</v>
      </c>
      <c r="D7" s="42"/>
      <c r="E7" s="43"/>
      <c r="F7" s="49"/>
      <c r="G7" s="44" t="str">
        <f t="shared" ref="G7:G166" si="1">IF($F7="Ya","Tidak",IF($D7="Tidak Hadir","Ya",IF($D7="","",IF($E7="",IF(NOW()&gt;$A7+IF($B7="Pagi",TIME(12,30,0),TIME(15,0,0)),"Ya",""),IF(IF(OR($C7="Alya Dwi Nurmiyati",$C7="Bagas Aryo Wicaksono",$C7="Dastin Rangga Berani",$C7="Fadhil Rusydi Hafizh",$C7="Febinadia Salsabila",$C7="Gusti Agung Ayu Savithri Nirmalasari",$C7="Maria Ellora Damarkasih",$C7="Mohammad Aqsha Dwinovryan",$C7="Najwa Aulia Putri",$C7="Reksa Utami",$C7="Surya Winaldi Yakin",$C7="Yossi Tri Rahmanda"),$E7&gt;IF($B7="Pagi",TIME(10,15,0),TIME(12,45,0)),$E7&gt;IF($B7="Pagi",TIME(10,30,0),TIME(13,0,0))),"Ya","Tidak")))))</f>
        <v/>
      </c>
      <c r="H7" s="46">
        <f t="shared" ref="H7:H166" si="2">IF($F7="Ya",0,IF($G7="Ya",IF($D7="Tidak Hadir",10000,IF($E7="",10000,5000)),0))</f>
        <v>0</v>
      </c>
      <c r="I7" s="47"/>
    </row>
    <row r="8" ht="22.5" customHeight="1">
      <c r="A8" s="38">
        <v>46266.0</v>
      </c>
      <c r="B8" s="39" t="s">
        <v>110</v>
      </c>
      <c r="C8" s="50" t="s">
        <v>20</v>
      </c>
      <c r="D8" s="49"/>
      <c r="E8" s="53"/>
      <c r="F8" s="49"/>
      <c r="G8" s="44" t="str">
        <f t="shared" si="1"/>
        <v/>
      </c>
      <c r="H8" s="46">
        <f t="shared" si="2"/>
        <v>0</v>
      </c>
      <c r="I8" s="47"/>
    </row>
    <row r="9" ht="22.5" customHeight="1">
      <c r="A9" s="38">
        <v>46266.0</v>
      </c>
      <c r="B9" s="39" t="s">
        <v>110</v>
      </c>
      <c r="C9" s="50" t="s">
        <v>34</v>
      </c>
      <c r="D9" s="49"/>
      <c r="E9" s="53"/>
      <c r="F9" s="49"/>
      <c r="G9" s="44" t="str">
        <f t="shared" si="1"/>
        <v/>
      </c>
      <c r="H9" s="46">
        <f t="shared" si="2"/>
        <v>0</v>
      </c>
      <c r="I9" s="47"/>
    </row>
    <row r="10" ht="22.5" customHeight="1">
      <c r="A10" s="38">
        <v>46266.0</v>
      </c>
      <c r="B10" s="39" t="s">
        <v>110</v>
      </c>
      <c r="C10" s="50" t="s">
        <v>16</v>
      </c>
      <c r="D10" s="49"/>
      <c r="E10" s="53"/>
      <c r="F10" s="49"/>
      <c r="G10" s="44" t="str">
        <f t="shared" si="1"/>
        <v/>
      </c>
      <c r="H10" s="46">
        <f t="shared" si="2"/>
        <v>0</v>
      </c>
      <c r="I10" s="47"/>
    </row>
    <row r="11" ht="22.5" customHeight="1">
      <c r="A11" s="51">
        <v>46266.0</v>
      </c>
      <c r="B11" s="52" t="s">
        <v>117</v>
      </c>
      <c r="C11" s="50" t="s">
        <v>35</v>
      </c>
      <c r="D11" s="42" t="s">
        <v>114</v>
      </c>
      <c r="E11" s="53"/>
      <c r="F11" s="42" t="s">
        <v>112</v>
      </c>
      <c r="G11" s="44" t="str">
        <f t="shared" si="1"/>
        <v>Tidak</v>
      </c>
      <c r="H11" s="46">
        <f t="shared" si="2"/>
        <v>0</v>
      </c>
      <c r="I11" s="47"/>
    </row>
    <row r="12" ht="22.5" customHeight="1">
      <c r="A12" s="51">
        <v>46266.0</v>
      </c>
      <c r="B12" s="52" t="s">
        <v>117</v>
      </c>
      <c r="C12" s="50" t="s">
        <v>41</v>
      </c>
      <c r="D12" s="42" t="s">
        <v>114</v>
      </c>
      <c r="E12" s="43">
        <v>0.5034722222222222</v>
      </c>
      <c r="F12" s="49"/>
      <c r="G12" s="44" t="str">
        <f t="shared" si="1"/>
        <v>Tidak</v>
      </c>
      <c r="H12" s="46">
        <f t="shared" si="2"/>
        <v>0</v>
      </c>
      <c r="I12" s="47"/>
    </row>
    <row r="13" ht="22.5" customHeight="1">
      <c r="A13" s="51">
        <v>46266.0</v>
      </c>
      <c r="B13" s="52" t="s">
        <v>117</v>
      </c>
      <c r="C13" s="50" t="s">
        <v>53</v>
      </c>
      <c r="D13" s="42" t="s">
        <v>114</v>
      </c>
      <c r="E13" s="43">
        <v>0.5173611111111112</v>
      </c>
      <c r="F13" s="49"/>
      <c r="G13" s="44" t="str">
        <f t="shared" si="1"/>
        <v>Tidak</v>
      </c>
      <c r="H13" s="46">
        <f t="shared" si="2"/>
        <v>0</v>
      </c>
      <c r="I13" s="47"/>
    </row>
    <row r="14" ht="22.5" customHeight="1">
      <c r="A14" s="51">
        <v>46266.0</v>
      </c>
      <c r="B14" s="52" t="s">
        <v>117</v>
      </c>
      <c r="C14" s="50" t="s">
        <v>22</v>
      </c>
      <c r="D14" s="42" t="s">
        <v>114</v>
      </c>
      <c r="E14" s="43"/>
      <c r="F14" s="49"/>
      <c r="G14" s="44" t="str">
        <f t="shared" si="1"/>
        <v>Ya</v>
      </c>
      <c r="H14" s="46">
        <f t="shared" si="2"/>
        <v>10000</v>
      </c>
      <c r="I14" s="47"/>
    </row>
    <row r="15" ht="15.75" customHeight="1">
      <c r="A15" s="38">
        <v>46273.0</v>
      </c>
      <c r="B15" s="39" t="s">
        <v>110</v>
      </c>
      <c r="C15" s="50" t="s">
        <v>25</v>
      </c>
      <c r="D15" s="49"/>
      <c r="E15" s="53"/>
      <c r="F15" s="49"/>
      <c r="G15" s="44" t="str">
        <f t="shared" si="1"/>
        <v/>
      </c>
      <c r="H15" s="46">
        <f t="shared" si="2"/>
        <v>0</v>
      </c>
      <c r="I15" s="47"/>
    </row>
    <row r="16" ht="15.75" customHeight="1">
      <c r="A16" s="38">
        <v>46273.0</v>
      </c>
      <c r="B16" s="39" t="s">
        <v>110</v>
      </c>
      <c r="C16" s="50" t="s">
        <v>20</v>
      </c>
      <c r="D16" s="49"/>
      <c r="E16" s="53"/>
      <c r="F16" s="49"/>
      <c r="G16" s="44" t="str">
        <f t="shared" si="1"/>
        <v/>
      </c>
      <c r="H16" s="46">
        <f t="shared" si="2"/>
        <v>0</v>
      </c>
      <c r="I16" s="47"/>
    </row>
    <row r="17" ht="15.75" customHeight="1">
      <c r="A17" s="38">
        <v>46273.0</v>
      </c>
      <c r="B17" s="39" t="s">
        <v>110</v>
      </c>
      <c r="C17" s="50" t="s">
        <v>34</v>
      </c>
      <c r="D17" s="49"/>
      <c r="E17" s="53"/>
      <c r="F17" s="49"/>
      <c r="G17" s="44" t="str">
        <f t="shared" si="1"/>
        <v/>
      </c>
      <c r="H17" s="46">
        <f t="shared" si="2"/>
        <v>0</v>
      </c>
      <c r="I17" s="47"/>
    </row>
    <row r="18" ht="15.75" customHeight="1">
      <c r="A18" s="38">
        <v>46273.0</v>
      </c>
      <c r="B18" s="39" t="s">
        <v>110</v>
      </c>
      <c r="C18" s="50" t="s">
        <v>16</v>
      </c>
      <c r="D18" s="49"/>
      <c r="E18" s="53"/>
      <c r="F18" s="49"/>
      <c r="G18" s="44" t="str">
        <f t="shared" si="1"/>
        <v/>
      </c>
      <c r="H18" s="46">
        <f t="shared" si="2"/>
        <v>0</v>
      </c>
      <c r="I18" s="47"/>
    </row>
    <row r="19" ht="15.75" customHeight="1">
      <c r="A19" s="51">
        <v>46273.0</v>
      </c>
      <c r="B19" s="52" t="s">
        <v>117</v>
      </c>
      <c r="C19" s="50" t="s">
        <v>35</v>
      </c>
      <c r="D19" s="49"/>
      <c r="E19" s="53"/>
      <c r="F19" s="49"/>
      <c r="G19" s="44" t="str">
        <f t="shared" si="1"/>
        <v/>
      </c>
      <c r="H19" s="46">
        <f t="shared" si="2"/>
        <v>0</v>
      </c>
      <c r="I19" s="47"/>
    </row>
    <row r="20" ht="15.75" customHeight="1">
      <c r="A20" s="51">
        <v>46273.0</v>
      </c>
      <c r="B20" s="52" t="s">
        <v>117</v>
      </c>
      <c r="C20" s="50" t="s">
        <v>41</v>
      </c>
      <c r="D20" s="49"/>
      <c r="E20" s="53"/>
      <c r="F20" s="49"/>
      <c r="G20" s="44" t="str">
        <f t="shared" si="1"/>
        <v/>
      </c>
      <c r="H20" s="46">
        <f t="shared" si="2"/>
        <v>0</v>
      </c>
      <c r="I20" s="47"/>
    </row>
    <row r="21" ht="15.75" customHeight="1">
      <c r="A21" s="51">
        <v>46273.0</v>
      </c>
      <c r="B21" s="52" t="s">
        <v>117</v>
      </c>
      <c r="C21" s="50" t="s">
        <v>53</v>
      </c>
      <c r="D21" s="49"/>
      <c r="E21" s="53"/>
      <c r="F21" s="49"/>
      <c r="G21" s="44" t="str">
        <f t="shared" si="1"/>
        <v/>
      </c>
      <c r="H21" s="46">
        <f t="shared" si="2"/>
        <v>0</v>
      </c>
      <c r="I21" s="47"/>
    </row>
    <row r="22" ht="15.75" customHeight="1">
      <c r="A22" s="51">
        <v>46273.0</v>
      </c>
      <c r="B22" s="52" t="s">
        <v>117</v>
      </c>
      <c r="C22" s="50" t="s">
        <v>22</v>
      </c>
      <c r="D22" s="49"/>
      <c r="E22" s="53"/>
      <c r="F22" s="49"/>
      <c r="G22" s="44" t="str">
        <f t="shared" si="1"/>
        <v/>
      </c>
      <c r="H22" s="46">
        <f t="shared" si="2"/>
        <v>0</v>
      </c>
      <c r="I22" s="47"/>
    </row>
    <row r="23" ht="15.75" customHeight="1">
      <c r="A23" s="38">
        <v>46280.0</v>
      </c>
      <c r="B23" s="39" t="s">
        <v>110</v>
      </c>
      <c r="C23" s="50" t="s">
        <v>25</v>
      </c>
      <c r="D23" s="49"/>
      <c r="E23" s="53"/>
      <c r="F23" s="49"/>
      <c r="G23" s="44" t="str">
        <f t="shared" si="1"/>
        <v/>
      </c>
      <c r="H23" s="46">
        <f t="shared" si="2"/>
        <v>0</v>
      </c>
      <c r="I23" s="47"/>
    </row>
    <row r="24" ht="15.75" customHeight="1">
      <c r="A24" s="38">
        <v>46280.0</v>
      </c>
      <c r="B24" s="39" t="s">
        <v>110</v>
      </c>
      <c r="C24" s="50" t="s">
        <v>20</v>
      </c>
      <c r="D24" s="49"/>
      <c r="E24" s="53"/>
      <c r="F24" s="49"/>
      <c r="G24" s="44" t="str">
        <f t="shared" si="1"/>
        <v/>
      </c>
      <c r="H24" s="46">
        <f t="shared" si="2"/>
        <v>0</v>
      </c>
      <c r="I24" s="47"/>
    </row>
    <row r="25" ht="15.75" customHeight="1">
      <c r="A25" s="38">
        <v>46280.0</v>
      </c>
      <c r="B25" s="39" t="s">
        <v>110</v>
      </c>
      <c r="C25" s="50" t="s">
        <v>34</v>
      </c>
      <c r="D25" s="49"/>
      <c r="E25" s="53"/>
      <c r="F25" s="49"/>
      <c r="G25" s="44" t="str">
        <f t="shared" si="1"/>
        <v/>
      </c>
      <c r="H25" s="46">
        <f t="shared" si="2"/>
        <v>0</v>
      </c>
      <c r="I25" s="47"/>
    </row>
    <row r="26" ht="15.75" customHeight="1">
      <c r="A26" s="38">
        <v>46280.0</v>
      </c>
      <c r="B26" s="39" t="s">
        <v>110</v>
      </c>
      <c r="C26" s="50" t="s">
        <v>16</v>
      </c>
      <c r="D26" s="49"/>
      <c r="E26" s="53"/>
      <c r="F26" s="49"/>
      <c r="G26" s="44" t="str">
        <f t="shared" si="1"/>
        <v/>
      </c>
      <c r="H26" s="46">
        <f t="shared" si="2"/>
        <v>0</v>
      </c>
      <c r="I26" s="47"/>
    </row>
    <row r="27" ht="15.75" customHeight="1">
      <c r="A27" s="51">
        <v>46280.0</v>
      </c>
      <c r="B27" s="52" t="s">
        <v>117</v>
      </c>
      <c r="C27" s="50" t="s">
        <v>35</v>
      </c>
      <c r="D27" s="49"/>
      <c r="E27" s="53"/>
      <c r="F27" s="49"/>
      <c r="G27" s="44" t="str">
        <f t="shared" si="1"/>
        <v/>
      </c>
      <c r="H27" s="46">
        <f t="shared" si="2"/>
        <v>0</v>
      </c>
      <c r="I27" s="47"/>
    </row>
    <row r="28" ht="15.75" customHeight="1">
      <c r="A28" s="51">
        <v>46280.0</v>
      </c>
      <c r="B28" s="52" t="s">
        <v>117</v>
      </c>
      <c r="C28" s="50" t="s">
        <v>41</v>
      </c>
      <c r="D28" s="49"/>
      <c r="E28" s="53"/>
      <c r="F28" s="49"/>
      <c r="G28" s="44" t="str">
        <f t="shared" si="1"/>
        <v/>
      </c>
      <c r="H28" s="46">
        <f t="shared" si="2"/>
        <v>0</v>
      </c>
      <c r="I28" s="47"/>
    </row>
    <row r="29" ht="15.75" customHeight="1">
      <c r="A29" s="51">
        <v>46280.0</v>
      </c>
      <c r="B29" s="52" t="s">
        <v>117</v>
      </c>
      <c r="C29" s="50" t="s">
        <v>53</v>
      </c>
      <c r="D29" s="42" t="s">
        <v>114</v>
      </c>
      <c r="E29" s="43">
        <v>0.5180555555555556</v>
      </c>
      <c r="F29" s="49"/>
      <c r="G29" s="44" t="str">
        <f t="shared" si="1"/>
        <v>Tidak</v>
      </c>
      <c r="H29" s="46">
        <f t="shared" si="2"/>
        <v>0</v>
      </c>
      <c r="I29" s="47"/>
    </row>
    <row r="30" ht="15.75" customHeight="1">
      <c r="A30" s="51">
        <v>46280.0</v>
      </c>
      <c r="B30" s="52" t="s">
        <v>117</v>
      </c>
      <c r="C30" s="50" t="s">
        <v>22</v>
      </c>
      <c r="D30" s="42" t="s">
        <v>114</v>
      </c>
      <c r="E30" s="43">
        <v>0.5173611111111112</v>
      </c>
      <c r="F30" s="49"/>
      <c r="G30" s="44" t="str">
        <f t="shared" si="1"/>
        <v>Tidak</v>
      </c>
      <c r="H30" s="46">
        <f t="shared" si="2"/>
        <v>0</v>
      </c>
      <c r="I30" s="47"/>
    </row>
    <row r="31" ht="15.75" customHeight="1">
      <c r="A31" s="38">
        <v>46287.0</v>
      </c>
      <c r="B31" s="39" t="s">
        <v>110</v>
      </c>
      <c r="C31" s="50" t="s">
        <v>25</v>
      </c>
      <c r="D31" s="49"/>
      <c r="E31" s="53"/>
      <c r="F31" s="49"/>
      <c r="G31" s="44" t="str">
        <f t="shared" si="1"/>
        <v/>
      </c>
      <c r="H31" s="46">
        <f t="shared" si="2"/>
        <v>0</v>
      </c>
      <c r="I31" s="47"/>
    </row>
    <row r="32" ht="15.75" customHeight="1">
      <c r="A32" s="38">
        <v>46287.0</v>
      </c>
      <c r="B32" s="39" t="s">
        <v>110</v>
      </c>
      <c r="C32" s="50" t="s">
        <v>20</v>
      </c>
      <c r="D32" s="49"/>
      <c r="E32" s="53"/>
      <c r="F32" s="49"/>
      <c r="G32" s="44" t="str">
        <f t="shared" si="1"/>
        <v/>
      </c>
      <c r="H32" s="46">
        <f t="shared" si="2"/>
        <v>0</v>
      </c>
      <c r="I32" s="47"/>
    </row>
    <row r="33" ht="15.75" customHeight="1">
      <c r="A33" s="38">
        <v>46287.0</v>
      </c>
      <c r="B33" s="39" t="s">
        <v>110</v>
      </c>
      <c r="C33" s="50" t="s">
        <v>34</v>
      </c>
      <c r="D33" s="49"/>
      <c r="E33" s="53"/>
      <c r="F33" s="49"/>
      <c r="G33" s="44" t="str">
        <f t="shared" si="1"/>
        <v/>
      </c>
      <c r="H33" s="46">
        <f t="shared" si="2"/>
        <v>0</v>
      </c>
      <c r="I33" s="47"/>
    </row>
    <row r="34" ht="15.75" customHeight="1">
      <c r="A34" s="38">
        <v>46287.0</v>
      </c>
      <c r="B34" s="39" t="s">
        <v>110</v>
      </c>
      <c r="C34" s="50" t="s">
        <v>16</v>
      </c>
      <c r="D34" s="49"/>
      <c r="E34" s="53"/>
      <c r="F34" s="49"/>
      <c r="G34" s="44" t="str">
        <f t="shared" si="1"/>
        <v/>
      </c>
      <c r="H34" s="46">
        <f t="shared" si="2"/>
        <v>0</v>
      </c>
      <c r="I34" s="47"/>
    </row>
    <row r="35" ht="15.75" customHeight="1">
      <c r="A35" s="51">
        <v>46287.0</v>
      </c>
      <c r="B35" s="52" t="s">
        <v>117</v>
      </c>
      <c r="C35" s="50" t="s">
        <v>35</v>
      </c>
      <c r="D35" s="49"/>
      <c r="E35" s="53"/>
      <c r="F35" s="49"/>
      <c r="G35" s="44" t="str">
        <f t="shared" si="1"/>
        <v/>
      </c>
      <c r="H35" s="46">
        <f t="shared" si="2"/>
        <v>0</v>
      </c>
      <c r="I35" s="47"/>
    </row>
    <row r="36" ht="15.75" customHeight="1">
      <c r="A36" s="51">
        <v>46287.0</v>
      </c>
      <c r="B36" s="52" t="s">
        <v>117</v>
      </c>
      <c r="C36" s="50" t="s">
        <v>41</v>
      </c>
      <c r="D36" s="49"/>
      <c r="E36" s="53"/>
      <c r="F36" s="49"/>
      <c r="G36" s="44" t="str">
        <f t="shared" si="1"/>
        <v/>
      </c>
      <c r="H36" s="46">
        <f t="shared" si="2"/>
        <v>0</v>
      </c>
      <c r="I36" s="47"/>
    </row>
    <row r="37" ht="15.75" customHeight="1">
      <c r="A37" s="51">
        <v>46287.0</v>
      </c>
      <c r="B37" s="52" t="s">
        <v>117</v>
      </c>
      <c r="C37" s="50" t="s">
        <v>53</v>
      </c>
      <c r="D37" s="49"/>
      <c r="E37" s="53"/>
      <c r="F37" s="49"/>
      <c r="G37" s="44" t="str">
        <f t="shared" si="1"/>
        <v/>
      </c>
      <c r="H37" s="46">
        <f t="shared" si="2"/>
        <v>0</v>
      </c>
      <c r="I37" s="47"/>
    </row>
    <row r="38" ht="15.75" customHeight="1">
      <c r="A38" s="51">
        <v>46287.0</v>
      </c>
      <c r="B38" s="52" t="s">
        <v>117</v>
      </c>
      <c r="C38" s="50" t="s">
        <v>22</v>
      </c>
      <c r="D38" s="49"/>
      <c r="E38" s="53"/>
      <c r="F38" s="49"/>
      <c r="G38" s="44" t="str">
        <f t="shared" si="1"/>
        <v/>
      </c>
      <c r="H38" s="46">
        <f t="shared" si="2"/>
        <v>0</v>
      </c>
      <c r="I38" s="47"/>
    </row>
    <row r="39" ht="15.75" customHeight="1">
      <c r="A39" s="38">
        <v>46294.0</v>
      </c>
      <c r="B39" s="39" t="s">
        <v>110</v>
      </c>
      <c r="C39" s="50" t="s">
        <v>25</v>
      </c>
      <c r="D39" s="49"/>
      <c r="E39" s="53"/>
      <c r="F39" s="49"/>
      <c r="G39" s="44" t="str">
        <f t="shared" si="1"/>
        <v/>
      </c>
      <c r="H39" s="46">
        <f t="shared" si="2"/>
        <v>0</v>
      </c>
      <c r="I39" s="47"/>
    </row>
    <row r="40" ht="15.75" customHeight="1">
      <c r="A40" s="38">
        <v>46294.0</v>
      </c>
      <c r="B40" s="39" t="s">
        <v>110</v>
      </c>
      <c r="C40" s="50" t="s">
        <v>20</v>
      </c>
      <c r="D40" s="49"/>
      <c r="E40" s="53"/>
      <c r="F40" s="49"/>
      <c r="G40" s="44" t="str">
        <f t="shared" si="1"/>
        <v/>
      </c>
      <c r="H40" s="46">
        <f t="shared" si="2"/>
        <v>0</v>
      </c>
      <c r="I40" s="47"/>
    </row>
    <row r="41" ht="15.75" customHeight="1">
      <c r="A41" s="38">
        <v>46294.0</v>
      </c>
      <c r="B41" s="39" t="s">
        <v>110</v>
      </c>
      <c r="C41" s="50" t="s">
        <v>34</v>
      </c>
      <c r="D41" s="49"/>
      <c r="E41" s="53"/>
      <c r="F41" s="49"/>
      <c r="G41" s="44" t="str">
        <f t="shared" si="1"/>
        <v/>
      </c>
      <c r="H41" s="46">
        <f t="shared" si="2"/>
        <v>0</v>
      </c>
      <c r="I41" s="47"/>
    </row>
    <row r="42" ht="15.75" customHeight="1">
      <c r="A42" s="38">
        <v>46294.0</v>
      </c>
      <c r="B42" s="39" t="s">
        <v>110</v>
      </c>
      <c r="C42" s="50" t="s">
        <v>16</v>
      </c>
      <c r="D42" s="49"/>
      <c r="E42" s="53"/>
      <c r="F42" s="49"/>
      <c r="G42" s="44" t="str">
        <f t="shared" si="1"/>
        <v/>
      </c>
      <c r="H42" s="46">
        <f t="shared" si="2"/>
        <v>0</v>
      </c>
      <c r="I42" s="47"/>
    </row>
    <row r="43" ht="15.75" customHeight="1">
      <c r="A43" s="51">
        <v>46294.0</v>
      </c>
      <c r="B43" s="52" t="s">
        <v>117</v>
      </c>
      <c r="C43" s="50" t="s">
        <v>35</v>
      </c>
      <c r="D43" s="49"/>
      <c r="E43" s="53"/>
      <c r="F43" s="49"/>
      <c r="G43" s="44" t="str">
        <f t="shared" si="1"/>
        <v/>
      </c>
      <c r="H43" s="46">
        <f t="shared" si="2"/>
        <v>0</v>
      </c>
      <c r="I43" s="47"/>
    </row>
    <row r="44" ht="15.75" customHeight="1">
      <c r="A44" s="51">
        <v>46294.0</v>
      </c>
      <c r="B44" s="52" t="s">
        <v>117</v>
      </c>
      <c r="C44" s="50" t="s">
        <v>41</v>
      </c>
      <c r="D44" s="49"/>
      <c r="E44" s="53"/>
      <c r="F44" s="49"/>
      <c r="G44" s="44" t="str">
        <f t="shared" si="1"/>
        <v/>
      </c>
      <c r="H44" s="46">
        <f t="shared" si="2"/>
        <v>0</v>
      </c>
      <c r="I44" s="47"/>
    </row>
    <row r="45" ht="15.75" customHeight="1">
      <c r="A45" s="51">
        <v>46294.0</v>
      </c>
      <c r="B45" s="52" t="s">
        <v>117</v>
      </c>
      <c r="C45" s="50" t="s">
        <v>53</v>
      </c>
      <c r="D45" s="49"/>
      <c r="E45" s="53"/>
      <c r="F45" s="49"/>
      <c r="G45" s="44" t="str">
        <f t="shared" si="1"/>
        <v/>
      </c>
      <c r="H45" s="46">
        <f t="shared" si="2"/>
        <v>0</v>
      </c>
      <c r="I45" s="47"/>
    </row>
    <row r="46" ht="15.75" customHeight="1">
      <c r="A46" s="51">
        <v>46294.0</v>
      </c>
      <c r="B46" s="52" t="s">
        <v>117</v>
      </c>
      <c r="C46" s="50" t="s">
        <v>22</v>
      </c>
      <c r="D46" s="49"/>
      <c r="E46" s="53"/>
      <c r="F46" s="49"/>
      <c r="G46" s="44" t="str">
        <f t="shared" si="1"/>
        <v/>
      </c>
      <c r="H46" s="46">
        <f t="shared" si="2"/>
        <v>0</v>
      </c>
      <c r="I46" s="47"/>
    </row>
    <row r="47" ht="15.75" customHeight="1">
      <c r="A47" s="38">
        <v>46301.0</v>
      </c>
      <c r="B47" s="39" t="s">
        <v>110</v>
      </c>
      <c r="C47" s="50" t="s">
        <v>25</v>
      </c>
      <c r="D47" s="49"/>
      <c r="E47" s="53"/>
      <c r="F47" s="49"/>
      <c r="G47" s="44" t="str">
        <f t="shared" si="1"/>
        <v/>
      </c>
      <c r="H47" s="46">
        <f t="shared" si="2"/>
        <v>0</v>
      </c>
      <c r="I47" s="47"/>
    </row>
    <row r="48" ht="15.75" customHeight="1">
      <c r="A48" s="38">
        <v>46301.0</v>
      </c>
      <c r="B48" s="39" t="s">
        <v>110</v>
      </c>
      <c r="C48" s="50" t="s">
        <v>20</v>
      </c>
      <c r="D48" s="49"/>
      <c r="E48" s="53"/>
      <c r="F48" s="49"/>
      <c r="G48" s="44" t="str">
        <f t="shared" si="1"/>
        <v/>
      </c>
      <c r="H48" s="46">
        <f t="shared" si="2"/>
        <v>0</v>
      </c>
      <c r="I48" s="47"/>
    </row>
    <row r="49" ht="15.75" customHeight="1">
      <c r="A49" s="38">
        <v>46301.0</v>
      </c>
      <c r="B49" s="39" t="s">
        <v>110</v>
      </c>
      <c r="C49" s="50" t="s">
        <v>34</v>
      </c>
      <c r="D49" s="49"/>
      <c r="E49" s="53"/>
      <c r="F49" s="49"/>
      <c r="G49" s="44" t="str">
        <f t="shared" si="1"/>
        <v/>
      </c>
      <c r="H49" s="46">
        <f t="shared" si="2"/>
        <v>0</v>
      </c>
      <c r="I49" s="47"/>
    </row>
    <row r="50" ht="15.75" customHeight="1">
      <c r="A50" s="38">
        <v>46301.0</v>
      </c>
      <c r="B50" s="39" t="s">
        <v>110</v>
      </c>
      <c r="C50" s="50" t="s">
        <v>16</v>
      </c>
      <c r="D50" s="49"/>
      <c r="E50" s="53"/>
      <c r="F50" s="49"/>
      <c r="G50" s="44" t="str">
        <f t="shared" si="1"/>
        <v/>
      </c>
      <c r="H50" s="46">
        <f t="shared" si="2"/>
        <v>0</v>
      </c>
      <c r="I50" s="47"/>
    </row>
    <row r="51" ht="15.75" customHeight="1">
      <c r="A51" s="51">
        <v>46301.0</v>
      </c>
      <c r="B51" s="52" t="s">
        <v>117</v>
      </c>
      <c r="C51" s="50" t="s">
        <v>35</v>
      </c>
      <c r="D51" s="49"/>
      <c r="E51" s="53"/>
      <c r="F51" s="49"/>
      <c r="G51" s="44" t="str">
        <f t="shared" si="1"/>
        <v/>
      </c>
      <c r="H51" s="46">
        <f t="shared" si="2"/>
        <v>0</v>
      </c>
      <c r="I51" s="47"/>
    </row>
    <row r="52" ht="15.75" customHeight="1">
      <c r="A52" s="51">
        <v>46301.0</v>
      </c>
      <c r="B52" s="52" t="s">
        <v>117</v>
      </c>
      <c r="C52" s="50" t="s">
        <v>41</v>
      </c>
      <c r="D52" s="49"/>
      <c r="E52" s="53"/>
      <c r="F52" s="49"/>
      <c r="G52" s="44" t="str">
        <f t="shared" si="1"/>
        <v/>
      </c>
      <c r="H52" s="46">
        <f t="shared" si="2"/>
        <v>0</v>
      </c>
      <c r="I52" s="47"/>
    </row>
    <row r="53" ht="15.75" customHeight="1">
      <c r="A53" s="51">
        <v>46301.0</v>
      </c>
      <c r="B53" s="52" t="s">
        <v>117</v>
      </c>
      <c r="C53" s="50" t="s">
        <v>53</v>
      </c>
      <c r="D53" s="49"/>
      <c r="E53" s="53"/>
      <c r="F53" s="49"/>
      <c r="G53" s="44" t="str">
        <f t="shared" si="1"/>
        <v/>
      </c>
      <c r="H53" s="46">
        <f t="shared" si="2"/>
        <v>0</v>
      </c>
      <c r="I53" s="47"/>
    </row>
    <row r="54" ht="15.75" customHeight="1">
      <c r="A54" s="51">
        <v>46301.0</v>
      </c>
      <c r="B54" s="52" t="s">
        <v>117</v>
      </c>
      <c r="C54" s="50" t="s">
        <v>22</v>
      </c>
      <c r="D54" s="49"/>
      <c r="E54" s="53"/>
      <c r="F54" s="49"/>
      <c r="G54" s="44" t="str">
        <f t="shared" si="1"/>
        <v/>
      </c>
      <c r="H54" s="46">
        <f t="shared" si="2"/>
        <v>0</v>
      </c>
      <c r="I54" s="47"/>
    </row>
    <row r="55" ht="15.75" customHeight="1">
      <c r="A55" s="38">
        <v>46308.0</v>
      </c>
      <c r="B55" s="39" t="s">
        <v>110</v>
      </c>
      <c r="C55" s="50" t="s">
        <v>25</v>
      </c>
      <c r="D55" s="49"/>
      <c r="E55" s="53"/>
      <c r="F55" s="49"/>
      <c r="G55" s="44" t="str">
        <f t="shared" si="1"/>
        <v/>
      </c>
      <c r="H55" s="46">
        <f t="shared" si="2"/>
        <v>0</v>
      </c>
      <c r="I55" s="47"/>
    </row>
    <row r="56" ht="15.75" customHeight="1">
      <c r="A56" s="38">
        <v>46308.0</v>
      </c>
      <c r="B56" s="39" t="s">
        <v>110</v>
      </c>
      <c r="C56" s="50" t="s">
        <v>20</v>
      </c>
      <c r="D56" s="49"/>
      <c r="E56" s="53"/>
      <c r="F56" s="49"/>
      <c r="G56" s="44" t="str">
        <f t="shared" si="1"/>
        <v/>
      </c>
      <c r="H56" s="46">
        <f t="shared" si="2"/>
        <v>0</v>
      </c>
      <c r="I56" s="47"/>
    </row>
    <row r="57" ht="15.75" customHeight="1">
      <c r="A57" s="38">
        <v>46308.0</v>
      </c>
      <c r="B57" s="39" t="s">
        <v>110</v>
      </c>
      <c r="C57" s="50" t="s">
        <v>34</v>
      </c>
      <c r="D57" s="49"/>
      <c r="E57" s="53"/>
      <c r="F57" s="49"/>
      <c r="G57" s="44" t="str">
        <f t="shared" si="1"/>
        <v/>
      </c>
      <c r="H57" s="46">
        <f t="shared" si="2"/>
        <v>0</v>
      </c>
      <c r="I57" s="47"/>
    </row>
    <row r="58" ht="15.75" customHeight="1">
      <c r="A58" s="38">
        <v>46308.0</v>
      </c>
      <c r="B58" s="39" t="s">
        <v>110</v>
      </c>
      <c r="C58" s="50" t="s">
        <v>16</v>
      </c>
      <c r="D58" s="49"/>
      <c r="E58" s="53"/>
      <c r="F58" s="49"/>
      <c r="G58" s="44" t="str">
        <f t="shared" si="1"/>
        <v/>
      </c>
      <c r="H58" s="46">
        <f t="shared" si="2"/>
        <v>0</v>
      </c>
      <c r="I58" s="47"/>
    </row>
    <row r="59" ht="15.75" customHeight="1">
      <c r="A59" s="51">
        <v>46308.0</v>
      </c>
      <c r="B59" s="52" t="s">
        <v>117</v>
      </c>
      <c r="C59" s="50" t="s">
        <v>35</v>
      </c>
      <c r="D59" s="49"/>
      <c r="E59" s="53"/>
      <c r="F59" s="49"/>
      <c r="G59" s="44" t="str">
        <f t="shared" si="1"/>
        <v/>
      </c>
      <c r="H59" s="46">
        <f t="shared" si="2"/>
        <v>0</v>
      </c>
      <c r="I59" s="47"/>
    </row>
    <row r="60" ht="15.75" customHeight="1">
      <c r="A60" s="51">
        <v>46308.0</v>
      </c>
      <c r="B60" s="52" t="s">
        <v>117</v>
      </c>
      <c r="C60" s="50" t="s">
        <v>41</v>
      </c>
      <c r="D60" s="49"/>
      <c r="E60" s="53"/>
      <c r="F60" s="49"/>
      <c r="G60" s="44" t="str">
        <f t="shared" si="1"/>
        <v/>
      </c>
      <c r="H60" s="46">
        <f t="shared" si="2"/>
        <v>0</v>
      </c>
      <c r="I60" s="47"/>
    </row>
    <row r="61" ht="15.75" customHeight="1">
      <c r="A61" s="51">
        <v>46308.0</v>
      </c>
      <c r="B61" s="52" t="s">
        <v>117</v>
      </c>
      <c r="C61" s="50" t="s">
        <v>53</v>
      </c>
      <c r="D61" s="49"/>
      <c r="E61" s="53"/>
      <c r="F61" s="49"/>
      <c r="G61" s="44" t="str">
        <f t="shared" si="1"/>
        <v/>
      </c>
      <c r="H61" s="46">
        <f t="shared" si="2"/>
        <v>0</v>
      </c>
      <c r="I61" s="47"/>
    </row>
    <row r="62" ht="15.75" customHeight="1">
      <c r="A62" s="51">
        <v>46308.0</v>
      </c>
      <c r="B62" s="52" t="s">
        <v>117</v>
      </c>
      <c r="C62" s="50" t="s">
        <v>22</v>
      </c>
      <c r="D62" s="49"/>
      <c r="E62" s="53"/>
      <c r="F62" s="49"/>
      <c r="G62" s="44" t="str">
        <f t="shared" si="1"/>
        <v/>
      </c>
      <c r="H62" s="46">
        <f t="shared" si="2"/>
        <v>0</v>
      </c>
      <c r="I62" s="47"/>
    </row>
    <row r="63" ht="15.75" customHeight="1">
      <c r="A63" s="38">
        <v>46315.0</v>
      </c>
      <c r="B63" s="39" t="s">
        <v>110</v>
      </c>
      <c r="C63" s="50" t="s">
        <v>25</v>
      </c>
      <c r="D63" s="49"/>
      <c r="E63" s="53"/>
      <c r="F63" s="49"/>
      <c r="G63" s="44" t="str">
        <f t="shared" si="1"/>
        <v/>
      </c>
      <c r="H63" s="46">
        <f t="shared" si="2"/>
        <v>0</v>
      </c>
      <c r="I63" s="47"/>
    </row>
    <row r="64" ht="15.75" customHeight="1">
      <c r="A64" s="38">
        <v>46315.0</v>
      </c>
      <c r="B64" s="39" t="s">
        <v>110</v>
      </c>
      <c r="C64" s="50" t="s">
        <v>20</v>
      </c>
      <c r="D64" s="49"/>
      <c r="E64" s="53"/>
      <c r="F64" s="49"/>
      <c r="G64" s="44" t="str">
        <f t="shared" si="1"/>
        <v/>
      </c>
      <c r="H64" s="46">
        <f t="shared" si="2"/>
        <v>0</v>
      </c>
      <c r="I64" s="47"/>
    </row>
    <row r="65" ht="15.75" customHeight="1">
      <c r="A65" s="38">
        <v>46315.0</v>
      </c>
      <c r="B65" s="39" t="s">
        <v>110</v>
      </c>
      <c r="C65" s="50" t="s">
        <v>34</v>
      </c>
      <c r="D65" s="49"/>
      <c r="E65" s="53"/>
      <c r="F65" s="49"/>
      <c r="G65" s="44" t="str">
        <f t="shared" si="1"/>
        <v/>
      </c>
      <c r="H65" s="46">
        <f t="shared" si="2"/>
        <v>0</v>
      </c>
      <c r="I65" s="47"/>
    </row>
    <row r="66" ht="15.75" customHeight="1">
      <c r="A66" s="38">
        <v>46315.0</v>
      </c>
      <c r="B66" s="39" t="s">
        <v>110</v>
      </c>
      <c r="C66" s="50" t="s">
        <v>16</v>
      </c>
      <c r="D66" s="49"/>
      <c r="E66" s="53"/>
      <c r="F66" s="49"/>
      <c r="G66" s="44" t="str">
        <f t="shared" si="1"/>
        <v/>
      </c>
      <c r="H66" s="46">
        <f t="shared" si="2"/>
        <v>0</v>
      </c>
      <c r="I66" s="47"/>
    </row>
    <row r="67" ht="15.75" customHeight="1">
      <c r="A67" s="51">
        <v>46315.0</v>
      </c>
      <c r="B67" s="52" t="s">
        <v>117</v>
      </c>
      <c r="C67" s="50" t="s">
        <v>35</v>
      </c>
      <c r="D67" s="49"/>
      <c r="E67" s="53"/>
      <c r="F67" s="49"/>
      <c r="G67" s="44" t="str">
        <f t="shared" si="1"/>
        <v/>
      </c>
      <c r="H67" s="46">
        <f t="shared" si="2"/>
        <v>0</v>
      </c>
      <c r="I67" s="47"/>
    </row>
    <row r="68" ht="15.75" customHeight="1">
      <c r="A68" s="51">
        <v>46315.0</v>
      </c>
      <c r="B68" s="52" t="s">
        <v>117</v>
      </c>
      <c r="C68" s="50" t="s">
        <v>41</v>
      </c>
      <c r="D68" s="49"/>
      <c r="E68" s="53"/>
      <c r="F68" s="49"/>
      <c r="G68" s="44" t="str">
        <f t="shared" si="1"/>
        <v/>
      </c>
      <c r="H68" s="46">
        <f t="shared" si="2"/>
        <v>0</v>
      </c>
      <c r="I68" s="47"/>
    </row>
    <row r="69" ht="15.75" customHeight="1">
      <c r="A69" s="51">
        <v>46315.0</v>
      </c>
      <c r="B69" s="52" t="s">
        <v>117</v>
      </c>
      <c r="C69" s="50" t="s">
        <v>53</v>
      </c>
      <c r="D69" s="49"/>
      <c r="E69" s="53"/>
      <c r="F69" s="49"/>
      <c r="G69" s="44" t="str">
        <f t="shared" si="1"/>
        <v/>
      </c>
      <c r="H69" s="46">
        <f t="shared" si="2"/>
        <v>0</v>
      </c>
      <c r="I69" s="47"/>
    </row>
    <row r="70" ht="15.75" customHeight="1">
      <c r="A70" s="51">
        <v>46315.0</v>
      </c>
      <c r="B70" s="52" t="s">
        <v>117</v>
      </c>
      <c r="C70" s="50" t="s">
        <v>22</v>
      </c>
      <c r="D70" s="49"/>
      <c r="E70" s="53"/>
      <c r="F70" s="49"/>
      <c r="G70" s="44" t="str">
        <f t="shared" si="1"/>
        <v/>
      </c>
      <c r="H70" s="46">
        <f t="shared" si="2"/>
        <v>0</v>
      </c>
      <c r="I70" s="47"/>
    </row>
    <row r="71" ht="15.75" customHeight="1">
      <c r="A71" s="38">
        <v>46322.0</v>
      </c>
      <c r="B71" s="39" t="s">
        <v>110</v>
      </c>
      <c r="C71" s="50" t="s">
        <v>25</v>
      </c>
      <c r="D71" s="49"/>
      <c r="E71" s="53"/>
      <c r="F71" s="49"/>
      <c r="G71" s="44" t="str">
        <f t="shared" si="1"/>
        <v/>
      </c>
      <c r="H71" s="46">
        <f t="shared" si="2"/>
        <v>0</v>
      </c>
      <c r="I71" s="47"/>
    </row>
    <row r="72" ht="15.75" customHeight="1">
      <c r="A72" s="38">
        <v>46322.0</v>
      </c>
      <c r="B72" s="39" t="s">
        <v>110</v>
      </c>
      <c r="C72" s="50" t="s">
        <v>20</v>
      </c>
      <c r="D72" s="49"/>
      <c r="E72" s="53"/>
      <c r="F72" s="49"/>
      <c r="G72" s="44" t="str">
        <f t="shared" si="1"/>
        <v/>
      </c>
      <c r="H72" s="46">
        <f t="shared" si="2"/>
        <v>0</v>
      </c>
      <c r="I72" s="47"/>
    </row>
    <row r="73" ht="15.75" customHeight="1">
      <c r="A73" s="38">
        <v>46322.0</v>
      </c>
      <c r="B73" s="39" t="s">
        <v>110</v>
      </c>
      <c r="C73" s="50" t="s">
        <v>34</v>
      </c>
      <c r="D73" s="49"/>
      <c r="E73" s="53"/>
      <c r="F73" s="49"/>
      <c r="G73" s="44" t="str">
        <f t="shared" si="1"/>
        <v/>
      </c>
      <c r="H73" s="46">
        <f t="shared" si="2"/>
        <v>0</v>
      </c>
      <c r="I73" s="47"/>
    </row>
    <row r="74" ht="15.75" customHeight="1">
      <c r="A74" s="38">
        <v>46322.0</v>
      </c>
      <c r="B74" s="39" t="s">
        <v>110</v>
      </c>
      <c r="C74" s="50" t="s">
        <v>16</v>
      </c>
      <c r="D74" s="49"/>
      <c r="E74" s="53"/>
      <c r="F74" s="49"/>
      <c r="G74" s="44" t="str">
        <f t="shared" si="1"/>
        <v/>
      </c>
      <c r="H74" s="46">
        <f t="shared" si="2"/>
        <v>0</v>
      </c>
      <c r="I74" s="47"/>
    </row>
    <row r="75" ht="15.75" customHeight="1">
      <c r="A75" s="51">
        <v>46322.0</v>
      </c>
      <c r="B75" s="52" t="s">
        <v>117</v>
      </c>
      <c r="C75" s="50" t="s">
        <v>35</v>
      </c>
      <c r="D75" s="49"/>
      <c r="E75" s="53"/>
      <c r="F75" s="49"/>
      <c r="G75" s="44" t="str">
        <f t="shared" si="1"/>
        <v/>
      </c>
      <c r="H75" s="46">
        <f t="shared" si="2"/>
        <v>0</v>
      </c>
      <c r="I75" s="47"/>
    </row>
    <row r="76" ht="15.75" customHeight="1">
      <c r="A76" s="51">
        <v>46322.0</v>
      </c>
      <c r="B76" s="52" t="s">
        <v>117</v>
      </c>
      <c r="C76" s="50" t="s">
        <v>41</v>
      </c>
      <c r="D76" s="49"/>
      <c r="E76" s="53"/>
      <c r="F76" s="49"/>
      <c r="G76" s="44" t="str">
        <f t="shared" si="1"/>
        <v/>
      </c>
      <c r="H76" s="46">
        <f t="shared" si="2"/>
        <v>0</v>
      </c>
      <c r="I76" s="47"/>
    </row>
    <row r="77" ht="15.75" customHeight="1">
      <c r="A77" s="51">
        <v>46322.0</v>
      </c>
      <c r="B77" s="52" t="s">
        <v>117</v>
      </c>
      <c r="C77" s="50" t="s">
        <v>53</v>
      </c>
      <c r="D77" s="49"/>
      <c r="E77" s="53"/>
      <c r="F77" s="49"/>
      <c r="G77" s="44" t="str">
        <f t="shared" si="1"/>
        <v/>
      </c>
      <c r="H77" s="46">
        <f t="shared" si="2"/>
        <v>0</v>
      </c>
      <c r="I77" s="47"/>
    </row>
    <row r="78" ht="15.75" customHeight="1">
      <c r="A78" s="51">
        <v>46322.0</v>
      </c>
      <c r="B78" s="52" t="s">
        <v>117</v>
      </c>
      <c r="C78" s="50" t="s">
        <v>22</v>
      </c>
      <c r="D78" s="49"/>
      <c r="E78" s="53"/>
      <c r="F78" s="49"/>
      <c r="G78" s="44" t="str">
        <f t="shared" si="1"/>
        <v/>
      </c>
      <c r="H78" s="46">
        <f t="shared" si="2"/>
        <v>0</v>
      </c>
      <c r="I78" s="47"/>
    </row>
    <row r="79" ht="15.75" customHeight="1">
      <c r="A79" s="38">
        <v>46329.0</v>
      </c>
      <c r="B79" s="39" t="s">
        <v>110</v>
      </c>
      <c r="C79" s="50" t="s">
        <v>25</v>
      </c>
      <c r="D79" s="49"/>
      <c r="E79" s="53"/>
      <c r="F79" s="49"/>
      <c r="G79" s="44" t="str">
        <f t="shared" si="1"/>
        <v/>
      </c>
      <c r="H79" s="46">
        <f t="shared" si="2"/>
        <v>0</v>
      </c>
      <c r="I79" s="47"/>
    </row>
    <row r="80" ht="15.75" customHeight="1">
      <c r="A80" s="38">
        <v>46329.0</v>
      </c>
      <c r="B80" s="39" t="s">
        <v>110</v>
      </c>
      <c r="C80" s="50" t="s">
        <v>20</v>
      </c>
      <c r="D80" s="49"/>
      <c r="E80" s="53"/>
      <c r="F80" s="49"/>
      <c r="G80" s="44" t="str">
        <f t="shared" si="1"/>
        <v/>
      </c>
      <c r="H80" s="46">
        <f t="shared" si="2"/>
        <v>0</v>
      </c>
      <c r="I80" s="47"/>
    </row>
    <row r="81" ht="15.75" customHeight="1">
      <c r="A81" s="38">
        <v>46329.0</v>
      </c>
      <c r="B81" s="39" t="s">
        <v>110</v>
      </c>
      <c r="C81" s="50" t="s">
        <v>34</v>
      </c>
      <c r="D81" s="49"/>
      <c r="E81" s="53"/>
      <c r="F81" s="49"/>
      <c r="G81" s="44" t="str">
        <f t="shared" si="1"/>
        <v/>
      </c>
      <c r="H81" s="46">
        <f t="shared" si="2"/>
        <v>0</v>
      </c>
      <c r="I81" s="47"/>
    </row>
    <row r="82" ht="15.75" customHeight="1">
      <c r="A82" s="38">
        <v>46329.0</v>
      </c>
      <c r="B82" s="39" t="s">
        <v>110</v>
      </c>
      <c r="C82" s="50" t="s">
        <v>16</v>
      </c>
      <c r="D82" s="49"/>
      <c r="E82" s="53"/>
      <c r="F82" s="49"/>
      <c r="G82" s="44" t="str">
        <f t="shared" si="1"/>
        <v/>
      </c>
      <c r="H82" s="46">
        <f t="shared" si="2"/>
        <v>0</v>
      </c>
      <c r="I82" s="47"/>
    </row>
    <row r="83" ht="15.75" customHeight="1">
      <c r="A83" s="51">
        <v>46329.0</v>
      </c>
      <c r="B83" s="52" t="s">
        <v>117</v>
      </c>
      <c r="C83" s="50" t="s">
        <v>35</v>
      </c>
      <c r="D83" s="49"/>
      <c r="E83" s="53"/>
      <c r="F83" s="49"/>
      <c r="G83" s="44" t="str">
        <f t="shared" si="1"/>
        <v/>
      </c>
      <c r="H83" s="46">
        <f t="shared" si="2"/>
        <v>0</v>
      </c>
      <c r="I83" s="47"/>
    </row>
    <row r="84" ht="15.75" customHeight="1">
      <c r="A84" s="51">
        <v>46329.0</v>
      </c>
      <c r="B84" s="52" t="s">
        <v>117</v>
      </c>
      <c r="C84" s="50" t="s">
        <v>41</v>
      </c>
      <c r="D84" s="49"/>
      <c r="E84" s="53"/>
      <c r="F84" s="49"/>
      <c r="G84" s="44" t="str">
        <f t="shared" si="1"/>
        <v/>
      </c>
      <c r="H84" s="46">
        <f t="shared" si="2"/>
        <v>0</v>
      </c>
      <c r="I84" s="47"/>
    </row>
    <row r="85" ht="15.75" customHeight="1">
      <c r="A85" s="51">
        <v>46329.0</v>
      </c>
      <c r="B85" s="52" t="s">
        <v>117</v>
      </c>
      <c r="C85" s="50" t="s">
        <v>53</v>
      </c>
      <c r="D85" s="49"/>
      <c r="E85" s="53"/>
      <c r="F85" s="49"/>
      <c r="G85" s="44" t="str">
        <f t="shared" si="1"/>
        <v/>
      </c>
      <c r="H85" s="46">
        <f t="shared" si="2"/>
        <v>0</v>
      </c>
      <c r="I85" s="47"/>
    </row>
    <row r="86" ht="15.75" customHeight="1">
      <c r="A86" s="51">
        <v>46329.0</v>
      </c>
      <c r="B86" s="52" t="s">
        <v>117</v>
      </c>
      <c r="C86" s="50" t="s">
        <v>22</v>
      </c>
      <c r="D86" s="49"/>
      <c r="E86" s="53"/>
      <c r="F86" s="49"/>
      <c r="G86" s="44" t="str">
        <f t="shared" si="1"/>
        <v/>
      </c>
      <c r="H86" s="46">
        <f t="shared" si="2"/>
        <v>0</v>
      </c>
      <c r="I86" s="47"/>
    </row>
    <row r="87" ht="15.75" customHeight="1">
      <c r="A87" s="38">
        <v>46336.0</v>
      </c>
      <c r="B87" s="39" t="s">
        <v>110</v>
      </c>
      <c r="C87" s="50" t="s">
        <v>25</v>
      </c>
      <c r="D87" s="49"/>
      <c r="E87" s="53"/>
      <c r="F87" s="49"/>
      <c r="G87" s="44" t="str">
        <f t="shared" si="1"/>
        <v/>
      </c>
      <c r="H87" s="46">
        <f t="shared" si="2"/>
        <v>0</v>
      </c>
      <c r="I87" s="47"/>
    </row>
    <row r="88" ht="15.75" customHeight="1">
      <c r="A88" s="38">
        <v>46336.0</v>
      </c>
      <c r="B88" s="39" t="s">
        <v>110</v>
      </c>
      <c r="C88" s="50" t="s">
        <v>20</v>
      </c>
      <c r="D88" s="49"/>
      <c r="E88" s="53"/>
      <c r="F88" s="49"/>
      <c r="G88" s="44" t="str">
        <f t="shared" si="1"/>
        <v/>
      </c>
      <c r="H88" s="46">
        <f t="shared" si="2"/>
        <v>0</v>
      </c>
      <c r="I88" s="47"/>
    </row>
    <row r="89" ht="15.75" customHeight="1">
      <c r="A89" s="38">
        <v>46336.0</v>
      </c>
      <c r="B89" s="39" t="s">
        <v>110</v>
      </c>
      <c r="C89" s="50" t="s">
        <v>34</v>
      </c>
      <c r="D89" s="49"/>
      <c r="E89" s="53"/>
      <c r="F89" s="49"/>
      <c r="G89" s="44" t="str">
        <f t="shared" si="1"/>
        <v/>
      </c>
      <c r="H89" s="46">
        <f t="shared" si="2"/>
        <v>0</v>
      </c>
      <c r="I89" s="47"/>
    </row>
    <row r="90" ht="15.75" customHeight="1">
      <c r="A90" s="38">
        <v>46336.0</v>
      </c>
      <c r="B90" s="39" t="s">
        <v>110</v>
      </c>
      <c r="C90" s="50" t="s">
        <v>16</v>
      </c>
      <c r="D90" s="49"/>
      <c r="E90" s="53"/>
      <c r="F90" s="49"/>
      <c r="G90" s="44" t="str">
        <f t="shared" si="1"/>
        <v/>
      </c>
      <c r="H90" s="46">
        <f t="shared" si="2"/>
        <v>0</v>
      </c>
      <c r="I90" s="47"/>
    </row>
    <row r="91" ht="15.75" customHeight="1">
      <c r="A91" s="51">
        <v>46336.0</v>
      </c>
      <c r="B91" s="52" t="s">
        <v>117</v>
      </c>
      <c r="C91" s="50" t="s">
        <v>35</v>
      </c>
      <c r="D91" s="49"/>
      <c r="E91" s="53"/>
      <c r="F91" s="49"/>
      <c r="G91" s="44" t="str">
        <f t="shared" si="1"/>
        <v/>
      </c>
      <c r="H91" s="46">
        <f t="shared" si="2"/>
        <v>0</v>
      </c>
      <c r="I91" s="47"/>
    </row>
    <row r="92" ht="15.75" customHeight="1">
      <c r="A92" s="51">
        <v>46336.0</v>
      </c>
      <c r="B92" s="52" t="s">
        <v>117</v>
      </c>
      <c r="C92" s="50" t="s">
        <v>41</v>
      </c>
      <c r="D92" s="49"/>
      <c r="E92" s="53"/>
      <c r="F92" s="49"/>
      <c r="G92" s="44" t="str">
        <f t="shared" si="1"/>
        <v/>
      </c>
      <c r="H92" s="46">
        <f t="shared" si="2"/>
        <v>0</v>
      </c>
      <c r="I92" s="47"/>
    </row>
    <row r="93" ht="15.75" customHeight="1">
      <c r="A93" s="51">
        <v>46336.0</v>
      </c>
      <c r="B93" s="52" t="s">
        <v>117</v>
      </c>
      <c r="C93" s="50" t="s">
        <v>53</v>
      </c>
      <c r="D93" s="49"/>
      <c r="E93" s="53"/>
      <c r="F93" s="49"/>
      <c r="G93" s="44" t="str">
        <f t="shared" si="1"/>
        <v/>
      </c>
      <c r="H93" s="46">
        <f t="shared" si="2"/>
        <v>0</v>
      </c>
      <c r="I93" s="47"/>
    </row>
    <row r="94" ht="15.75" customHeight="1">
      <c r="A94" s="51">
        <v>46336.0</v>
      </c>
      <c r="B94" s="52" t="s">
        <v>117</v>
      </c>
      <c r="C94" s="50" t="s">
        <v>22</v>
      </c>
      <c r="D94" s="49"/>
      <c r="E94" s="53"/>
      <c r="F94" s="49"/>
      <c r="G94" s="44" t="str">
        <f t="shared" si="1"/>
        <v/>
      </c>
      <c r="H94" s="46">
        <f t="shared" si="2"/>
        <v>0</v>
      </c>
      <c r="I94" s="47"/>
    </row>
    <row r="95" ht="15.75" customHeight="1">
      <c r="A95" s="38">
        <v>46343.0</v>
      </c>
      <c r="B95" s="39" t="s">
        <v>110</v>
      </c>
      <c r="C95" s="50" t="s">
        <v>25</v>
      </c>
      <c r="D95" s="49"/>
      <c r="E95" s="53"/>
      <c r="F95" s="49"/>
      <c r="G95" s="44" t="str">
        <f t="shared" si="1"/>
        <v/>
      </c>
      <c r="H95" s="46">
        <f t="shared" si="2"/>
        <v>0</v>
      </c>
      <c r="I95" s="47"/>
    </row>
    <row r="96" ht="15.75" customHeight="1">
      <c r="A96" s="38">
        <v>46343.0</v>
      </c>
      <c r="B96" s="39" t="s">
        <v>110</v>
      </c>
      <c r="C96" s="50" t="s">
        <v>20</v>
      </c>
      <c r="D96" s="49"/>
      <c r="E96" s="53"/>
      <c r="F96" s="49"/>
      <c r="G96" s="44" t="str">
        <f t="shared" si="1"/>
        <v/>
      </c>
      <c r="H96" s="46">
        <f t="shared" si="2"/>
        <v>0</v>
      </c>
      <c r="I96" s="47"/>
    </row>
    <row r="97" ht="15.75" customHeight="1">
      <c r="A97" s="38">
        <v>46343.0</v>
      </c>
      <c r="B97" s="39" t="s">
        <v>110</v>
      </c>
      <c r="C97" s="50" t="s">
        <v>34</v>
      </c>
      <c r="D97" s="49"/>
      <c r="E97" s="53"/>
      <c r="F97" s="49"/>
      <c r="G97" s="44" t="str">
        <f t="shared" si="1"/>
        <v/>
      </c>
      <c r="H97" s="46">
        <f t="shared" si="2"/>
        <v>0</v>
      </c>
      <c r="I97" s="47"/>
    </row>
    <row r="98" ht="15.75" customHeight="1">
      <c r="A98" s="38">
        <v>46343.0</v>
      </c>
      <c r="B98" s="39" t="s">
        <v>110</v>
      </c>
      <c r="C98" s="50" t="s">
        <v>16</v>
      </c>
      <c r="D98" s="49"/>
      <c r="E98" s="53"/>
      <c r="F98" s="49"/>
      <c r="G98" s="44" t="str">
        <f t="shared" si="1"/>
        <v/>
      </c>
      <c r="H98" s="46">
        <f t="shared" si="2"/>
        <v>0</v>
      </c>
      <c r="I98" s="47"/>
    </row>
    <row r="99" ht="15.75" customHeight="1">
      <c r="A99" s="51">
        <v>46343.0</v>
      </c>
      <c r="B99" s="52" t="s">
        <v>117</v>
      </c>
      <c r="C99" s="50" t="s">
        <v>35</v>
      </c>
      <c r="D99" s="49"/>
      <c r="E99" s="53"/>
      <c r="F99" s="49"/>
      <c r="G99" s="44" t="str">
        <f t="shared" si="1"/>
        <v/>
      </c>
      <c r="H99" s="46">
        <f t="shared" si="2"/>
        <v>0</v>
      </c>
      <c r="I99" s="47"/>
    </row>
    <row r="100" ht="15.75" customHeight="1">
      <c r="A100" s="51">
        <v>46343.0</v>
      </c>
      <c r="B100" s="52" t="s">
        <v>117</v>
      </c>
      <c r="C100" s="50" t="s">
        <v>41</v>
      </c>
      <c r="D100" s="49"/>
      <c r="E100" s="53"/>
      <c r="F100" s="49"/>
      <c r="G100" s="44" t="str">
        <f t="shared" si="1"/>
        <v/>
      </c>
      <c r="H100" s="46">
        <f t="shared" si="2"/>
        <v>0</v>
      </c>
      <c r="I100" s="47"/>
    </row>
    <row r="101" ht="15.75" customHeight="1">
      <c r="A101" s="51">
        <v>46343.0</v>
      </c>
      <c r="B101" s="52" t="s">
        <v>117</v>
      </c>
      <c r="C101" s="50" t="s">
        <v>53</v>
      </c>
      <c r="D101" s="49"/>
      <c r="E101" s="53"/>
      <c r="F101" s="49"/>
      <c r="G101" s="44" t="str">
        <f t="shared" si="1"/>
        <v/>
      </c>
      <c r="H101" s="46">
        <f t="shared" si="2"/>
        <v>0</v>
      </c>
      <c r="I101" s="47"/>
    </row>
    <row r="102" ht="15.75" customHeight="1">
      <c r="A102" s="51">
        <v>46343.0</v>
      </c>
      <c r="B102" s="52" t="s">
        <v>117</v>
      </c>
      <c r="C102" s="50" t="s">
        <v>22</v>
      </c>
      <c r="D102" s="49"/>
      <c r="E102" s="53"/>
      <c r="F102" s="49"/>
      <c r="G102" s="44" t="str">
        <f t="shared" si="1"/>
        <v/>
      </c>
      <c r="H102" s="46">
        <f t="shared" si="2"/>
        <v>0</v>
      </c>
      <c r="I102" s="47"/>
    </row>
    <row r="103" ht="15.75" customHeight="1">
      <c r="A103" s="38">
        <v>46350.0</v>
      </c>
      <c r="B103" s="39" t="s">
        <v>110</v>
      </c>
      <c r="C103" s="50" t="s">
        <v>25</v>
      </c>
      <c r="D103" s="49"/>
      <c r="E103" s="53"/>
      <c r="F103" s="49"/>
      <c r="G103" s="44" t="str">
        <f t="shared" si="1"/>
        <v/>
      </c>
      <c r="H103" s="46">
        <f t="shared" si="2"/>
        <v>0</v>
      </c>
      <c r="I103" s="47"/>
    </row>
    <row r="104" ht="15.75" customHeight="1">
      <c r="A104" s="38">
        <v>46350.0</v>
      </c>
      <c r="B104" s="39" t="s">
        <v>110</v>
      </c>
      <c r="C104" s="50" t="s">
        <v>20</v>
      </c>
      <c r="D104" s="49"/>
      <c r="E104" s="53"/>
      <c r="F104" s="49"/>
      <c r="G104" s="44" t="str">
        <f t="shared" si="1"/>
        <v/>
      </c>
      <c r="H104" s="46">
        <f t="shared" si="2"/>
        <v>0</v>
      </c>
      <c r="I104" s="47"/>
    </row>
    <row r="105" ht="15.75" customHeight="1">
      <c r="A105" s="38">
        <v>46350.0</v>
      </c>
      <c r="B105" s="39" t="s">
        <v>110</v>
      </c>
      <c r="C105" s="50" t="s">
        <v>34</v>
      </c>
      <c r="D105" s="49"/>
      <c r="E105" s="53"/>
      <c r="F105" s="49"/>
      <c r="G105" s="44" t="str">
        <f t="shared" si="1"/>
        <v/>
      </c>
      <c r="H105" s="46">
        <f t="shared" si="2"/>
        <v>0</v>
      </c>
      <c r="I105" s="47"/>
    </row>
    <row r="106" ht="15.75" customHeight="1">
      <c r="A106" s="38">
        <v>46350.0</v>
      </c>
      <c r="B106" s="39" t="s">
        <v>110</v>
      </c>
      <c r="C106" s="50" t="s">
        <v>16</v>
      </c>
      <c r="D106" s="49"/>
      <c r="E106" s="53"/>
      <c r="F106" s="49"/>
      <c r="G106" s="44" t="str">
        <f t="shared" si="1"/>
        <v/>
      </c>
      <c r="H106" s="46">
        <f t="shared" si="2"/>
        <v>0</v>
      </c>
      <c r="I106" s="47"/>
    </row>
    <row r="107" ht="15.75" customHeight="1">
      <c r="A107" s="51">
        <v>46350.0</v>
      </c>
      <c r="B107" s="52" t="s">
        <v>117</v>
      </c>
      <c r="C107" s="50" t="s">
        <v>35</v>
      </c>
      <c r="D107" s="49"/>
      <c r="E107" s="53"/>
      <c r="F107" s="49"/>
      <c r="G107" s="44" t="str">
        <f t="shared" si="1"/>
        <v/>
      </c>
      <c r="H107" s="46">
        <f t="shared" si="2"/>
        <v>0</v>
      </c>
      <c r="I107" s="47"/>
    </row>
    <row r="108" ht="15.75" customHeight="1">
      <c r="A108" s="51">
        <v>46350.0</v>
      </c>
      <c r="B108" s="52" t="s">
        <v>117</v>
      </c>
      <c r="C108" s="50" t="s">
        <v>41</v>
      </c>
      <c r="D108" s="49"/>
      <c r="E108" s="53"/>
      <c r="F108" s="49"/>
      <c r="G108" s="44" t="str">
        <f t="shared" si="1"/>
        <v/>
      </c>
      <c r="H108" s="46">
        <f t="shared" si="2"/>
        <v>0</v>
      </c>
      <c r="I108" s="47"/>
    </row>
    <row r="109" ht="15.75" customHeight="1">
      <c r="A109" s="51">
        <v>46350.0</v>
      </c>
      <c r="B109" s="52" t="s">
        <v>117</v>
      </c>
      <c r="C109" s="50" t="s">
        <v>53</v>
      </c>
      <c r="D109" s="49"/>
      <c r="E109" s="53"/>
      <c r="F109" s="49"/>
      <c r="G109" s="44" t="str">
        <f t="shared" si="1"/>
        <v/>
      </c>
      <c r="H109" s="46">
        <f t="shared" si="2"/>
        <v>0</v>
      </c>
      <c r="I109" s="47"/>
    </row>
    <row r="110" ht="15.75" customHeight="1">
      <c r="A110" s="51">
        <v>46350.0</v>
      </c>
      <c r="B110" s="52" t="s">
        <v>117</v>
      </c>
      <c r="C110" s="50" t="s">
        <v>22</v>
      </c>
      <c r="D110" s="49"/>
      <c r="E110" s="53"/>
      <c r="F110" s="49"/>
      <c r="G110" s="44" t="str">
        <f t="shared" si="1"/>
        <v/>
      </c>
      <c r="H110" s="46">
        <f t="shared" si="2"/>
        <v>0</v>
      </c>
      <c r="I110" s="47"/>
    </row>
    <row r="111" ht="15.75" customHeight="1">
      <c r="A111" s="38">
        <v>46357.0</v>
      </c>
      <c r="B111" s="39" t="s">
        <v>110</v>
      </c>
      <c r="C111" s="50" t="s">
        <v>25</v>
      </c>
      <c r="D111" s="49"/>
      <c r="E111" s="53"/>
      <c r="F111" s="49"/>
      <c r="G111" s="44" t="str">
        <f t="shared" si="1"/>
        <v/>
      </c>
      <c r="H111" s="46">
        <f t="shared" si="2"/>
        <v>0</v>
      </c>
      <c r="I111" s="47"/>
    </row>
    <row r="112" ht="15.75" customHeight="1">
      <c r="A112" s="38">
        <v>46357.0</v>
      </c>
      <c r="B112" s="39" t="s">
        <v>110</v>
      </c>
      <c r="C112" s="50" t="s">
        <v>20</v>
      </c>
      <c r="D112" s="49"/>
      <c r="E112" s="53"/>
      <c r="F112" s="49"/>
      <c r="G112" s="44" t="str">
        <f t="shared" si="1"/>
        <v/>
      </c>
      <c r="H112" s="46">
        <f t="shared" si="2"/>
        <v>0</v>
      </c>
      <c r="I112" s="47"/>
    </row>
    <row r="113" ht="15.75" customHeight="1">
      <c r="A113" s="38">
        <v>46357.0</v>
      </c>
      <c r="B113" s="39" t="s">
        <v>110</v>
      </c>
      <c r="C113" s="50" t="s">
        <v>34</v>
      </c>
      <c r="D113" s="49"/>
      <c r="E113" s="53"/>
      <c r="F113" s="49"/>
      <c r="G113" s="44" t="str">
        <f t="shared" si="1"/>
        <v/>
      </c>
      <c r="H113" s="46">
        <f t="shared" si="2"/>
        <v>0</v>
      </c>
      <c r="I113" s="47"/>
    </row>
    <row r="114" ht="15.75" customHeight="1">
      <c r="A114" s="38">
        <v>46357.0</v>
      </c>
      <c r="B114" s="39" t="s">
        <v>110</v>
      </c>
      <c r="C114" s="50" t="s">
        <v>16</v>
      </c>
      <c r="D114" s="49"/>
      <c r="E114" s="53"/>
      <c r="F114" s="49"/>
      <c r="G114" s="44" t="str">
        <f t="shared" si="1"/>
        <v/>
      </c>
      <c r="H114" s="46">
        <f t="shared" si="2"/>
        <v>0</v>
      </c>
      <c r="I114" s="47"/>
    </row>
    <row r="115" ht="15.75" customHeight="1">
      <c r="A115" s="51">
        <v>46357.0</v>
      </c>
      <c r="B115" s="52" t="s">
        <v>117</v>
      </c>
      <c r="C115" s="50" t="s">
        <v>35</v>
      </c>
      <c r="D115" s="49"/>
      <c r="E115" s="53"/>
      <c r="F115" s="49"/>
      <c r="G115" s="44" t="str">
        <f t="shared" si="1"/>
        <v/>
      </c>
      <c r="H115" s="46">
        <f t="shared" si="2"/>
        <v>0</v>
      </c>
      <c r="I115" s="47"/>
    </row>
    <row r="116" ht="15.75" customHeight="1">
      <c r="A116" s="51">
        <v>46357.0</v>
      </c>
      <c r="B116" s="52" t="s">
        <v>117</v>
      </c>
      <c r="C116" s="50" t="s">
        <v>41</v>
      </c>
      <c r="D116" s="49"/>
      <c r="E116" s="53"/>
      <c r="F116" s="49"/>
      <c r="G116" s="44" t="str">
        <f t="shared" si="1"/>
        <v/>
      </c>
      <c r="H116" s="46">
        <f t="shared" si="2"/>
        <v>0</v>
      </c>
      <c r="I116" s="47"/>
    </row>
    <row r="117" ht="15.75" customHeight="1">
      <c r="A117" s="51">
        <v>46357.0</v>
      </c>
      <c r="B117" s="52" t="s">
        <v>117</v>
      </c>
      <c r="C117" s="50" t="s">
        <v>53</v>
      </c>
      <c r="D117" s="49"/>
      <c r="E117" s="53"/>
      <c r="F117" s="49"/>
      <c r="G117" s="44" t="str">
        <f t="shared" si="1"/>
        <v/>
      </c>
      <c r="H117" s="46">
        <f t="shared" si="2"/>
        <v>0</v>
      </c>
      <c r="I117" s="47"/>
    </row>
    <row r="118" ht="15.75" customHeight="1">
      <c r="A118" s="51">
        <v>46357.0</v>
      </c>
      <c r="B118" s="52" t="s">
        <v>117</v>
      </c>
      <c r="C118" s="50" t="s">
        <v>22</v>
      </c>
      <c r="D118" s="49"/>
      <c r="E118" s="53"/>
      <c r="F118" s="49"/>
      <c r="G118" s="44" t="str">
        <f t="shared" si="1"/>
        <v/>
      </c>
      <c r="H118" s="46">
        <f t="shared" si="2"/>
        <v>0</v>
      </c>
      <c r="I118" s="47"/>
    </row>
    <row r="119" ht="15.75" customHeight="1">
      <c r="A119" s="38">
        <v>46364.0</v>
      </c>
      <c r="B119" s="39" t="s">
        <v>110</v>
      </c>
      <c r="C119" s="50" t="s">
        <v>25</v>
      </c>
      <c r="D119" s="49"/>
      <c r="E119" s="53"/>
      <c r="F119" s="49"/>
      <c r="G119" s="44" t="str">
        <f t="shared" si="1"/>
        <v/>
      </c>
      <c r="H119" s="46">
        <f t="shared" si="2"/>
        <v>0</v>
      </c>
      <c r="I119" s="47"/>
    </row>
    <row r="120" ht="15.75" customHeight="1">
      <c r="A120" s="38">
        <v>46364.0</v>
      </c>
      <c r="B120" s="39" t="s">
        <v>110</v>
      </c>
      <c r="C120" s="50" t="s">
        <v>20</v>
      </c>
      <c r="D120" s="49"/>
      <c r="E120" s="53"/>
      <c r="F120" s="49"/>
      <c r="G120" s="44" t="str">
        <f t="shared" si="1"/>
        <v/>
      </c>
      <c r="H120" s="46">
        <f t="shared" si="2"/>
        <v>0</v>
      </c>
      <c r="I120" s="47"/>
    </row>
    <row r="121" ht="15.75" customHeight="1">
      <c r="A121" s="38">
        <v>46364.0</v>
      </c>
      <c r="B121" s="39" t="s">
        <v>110</v>
      </c>
      <c r="C121" s="50" t="s">
        <v>34</v>
      </c>
      <c r="D121" s="49"/>
      <c r="E121" s="53"/>
      <c r="F121" s="49"/>
      <c r="G121" s="44" t="str">
        <f t="shared" si="1"/>
        <v/>
      </c>
      <c r="H121" s="46">
        <f t="shared" si="2"/>
        <v>0</v>
      </c>
      <c r="I121" s="47"/>
    </row>
    <row r="122" ht="15.75" customHeight="1">
      <c r="A122" s="38">
        <v>46364.0</v>
      </c>
      <c r="B122" s="39" t="s">
        <v>110</v>
      </c>
      <c r="C122" s="50" t="s">
        <v>16</v>
      </c>
      <c r="D122" s="49"/>
      <c r="E122" s="53"/>
      <c r="F122" s="49"/>
      <c r="G122" s="44" t="str">
        <f t="shared" si="1"/>
        <v/>
      </c>
      <c r="H122" s="46">
        <f t="shared" si="2"/>
        <v>0</v>
      </c>
      <c r="I122" s="47"/>
    </row>
    <row r="123" ht="15.75" customHeight="1">
      <c r="A123" s="51">
        <v>46364.0</v>
      </c>
      <c r="B123" s="52" t="s">
        <v>117</v>
      </c>
      <c r="C123" s="50" t="s">
        <v>35</v>
      </c>
      <c r="D123" s="49"/>
      <c r="E123" s="53"/>
      <c r="F123" s="49"/>
      <c r="G123" s="44" t="str">
        <f t="shared" si="1"/>
        <v/>
      </c>
      <c r="H123" s="46">
        <f t="shared" si="2"/>
        <v>0</v>
      </c>
      <c r="I123" s="47"/>
    </row>
    <row r="124" ht="15.75" customHeight="1">
      <c r="A124" s="51">
        <v>46364.0</v>
      </c>
      <c r="B124" s="52" t="s">
        <v>117</v>
      </c>
      <c r="C124" s="50" t="s">
        <v>41</v>
      </c>
      <c r="D124" s="49"/>
      <c r="E124" s="53"/>
      <c r="F124" s="49"/>
      <c r="G124" s="44" t="str">
        <f t="shared" si="1"/>
        <v/>
      </c>
      <c r="H124" s="46">
        <f t="shared" si="2"/>
        <v>0</v>
      </c>
      <c r="I124" s="47"/>
    </row>
    <row r="125" ht="15.75" customHeight="1">
      <c r="A125" s="51">
        <v>46364.0</v>
      </c>
      <c r="B125" s="52" t="s">
        <v>117</v>
      </c>
      <c r="C125" s="50" t="s">
        <v>53</v>
      </c>
      <c r="D125" s="49"/>
      <c r="E125" s="53"/>
      <c r="F125" s="49"/>
      <c r="G125" s="44" t="str">
        <f t="shared" si="1"/>
        <v/>
      </c>
      <c r="H125" s="46">
        <f t="shared" si="2"/>
        <v>0</v>
      </c>
      <c r="I125" s="47"/>
    </row>
    <row r="126" ht="15.75" customHeight="1">
      <c r="A126" s="51">
        <v>46364.0</v>
      </c>
      <c r="B126" s="52" t="s">
        <v>117</v>
      </c>
      <c r="C126" s="50" t="s">
        <v>22</v>
      </c>
      <c r="D126" s="49"/>
      <c r="E126" s="53"/>
      <c r="F126" s="49"/>
      <c r="G126" s="44" t="str">
        <f t="shared" si="1"/>
        <v/>
      </c>
      <c r="H126" s="46">
        <f t="shared" si="2"/>
        <v>0</v>
      </c>
      <c r="I126" s="47"/>
    </row>
    <row r="127" ht="15.75" customHeight="1">
      <c r="A127" s="38">
        <v>46371.0</v>
      </c>
      <c r="B127" s="39" t="s">
        <v>110</v>
      </c>
      <c r="C127" s="50" t="s">
        <v>25</v>
      </c>
      <c r="D127" s="49"/>
      <c r="E127" s="53"/>
      <c r="F127" s="49"/>
      <c r="G127" s="44" t="str">
        <f t="shared" si="1"/>
        <v/>
      </c>
      <c r="H127" s="46">
        <f t="shared" si="2"/>
        <v>0</v>
      </c>
      <c r="I127" s="47"/>
    </row>
    <row r="128" ht="15.75" customHeight="1">
      <c r="A128" s="38">
        <v>46371.0</v>
      </c>
      <c r="B128" s="39" t="s">
        <v>110</v>
      </c>
      <c r="C128" s="50" t="s">
        <v>20</v>
      </c>
      <c r="D128" s="49"/>
      <c r="E128" s="53"/>
      <c r="F128" s="49"/>
      <c r="G128" s="44" t="str">
        <f t="shared" si="1"/>
        <v/>
      </c>
      <c r="H128" s="46">
        <f t="shared" si="2"/>
        <v>0</v>
      </c>
      <c r="I128" s="47"/>
    </row>
    <row r="129" ht="15.75" customHeight="1">
      <c r="A129" s="38">
        <v>46371.0</v>
      </c>
      <c r="B129" s="39" t="s">
        <v>110</v>
      </c>
      <c r="C129" s="50" t="s">
        <v>34</v>
      </c>
      <c r="D129" s="49"/>
      <c r="E129" s="53"/>
      <c r="F129" s="49"/>
      <c r="G129" s="44" t="str">
        <f t="shared" si="1"/>
        <v/>
      </c>
      <c r="H129" s="46">
        <f t="shared" si="2"/>
        <v>0</v>
      </c>
      <c r="I129" s="47"/>
    </row>
    <row r="130" ht="15.75" customHeight="1">
      <c r="A130" s="38">
        <v>46371.0</v>
      </c>
      <c r="B130" s="39" t="s">
        <v>110</v>
      </c>
      <c r="C130" s="50" t="s">
        <v>16</v>
      </c>
      <c r="D130" s="49"/>
      <c r="E130" s="53"/>
      <c r="F130" s="49"/>
      <c r="G130" s="44" t="str">
        <f t="shared" si="1"/>
        <v/>
      </c>
      <c r="H130" s="46">
        <f t="shared" si="2"/>
        <v>0</v>
      </c>
      <c r="I130" s="47"/>
    </row>
    <row r="131" ht="15.75" customHeight="1">
      <c r="A131" s="51">
        <v>46371.0</v>
      </c>
      <c r="B131" s="52" t="s">
        <v>117</v>
      </c>
      <c r="C131" s="50" t="s">
        <v>35</v>
      </c>
      <c r="D131" s="49"/>
      <c r="E131" s="53"/>
      <c r="F131" s="49"/>
      <c r="G131" s="44" t="str">
        <f t="shared" si="1"/>
        <v/>
      </c>
      <c r="H131" s="46">
        <f t="shared" si="2"/>
        <v>0</v>
      </c>
      <c r="I131" s="47"/>
    </row>
    <row r="132" ht="15.75" customHeight="1">
      <c r="A132" s="51">
        <v>46371.0</v>
      </c>
      <c r="B132" s="52" t="s">
        <v>117</v>
      </c>
      <c r="C132" s="50" t="s">
        <v>41</v>
      </c>
      <c r="D132" s="49"/>
      <c r="E132" s="53"/>
      <c r="F132" s="49"/>
      <c r="G132" s="44" t="str">
        <f t="shared" si="1"/>
        <v/>
      </c>
      <c r="H132" s="46">
        <f t="shared" si="2"/>
        <v>0</v>
      </c>
      <c r="I132" s="47"/>
    </row>
    <row r="133" ht="15.75" customHeight="1">
      <c r="A133" s="51">
        <v>46371.0</v>
      </c>
      <c r="B133" s="52" t="s">
        <v>117</v>
      </c>
      <c r="C133" s="50" t="s">
        <v>53</v>
      </c>
      <c r="D133" s="49"/>
      <c r="E133" s="53"/>
      <c r="F133" s="49"/>
      <c r="G133" s="44" t="str">
        <f t="shared" si="1"/>
        <v/>
      </c>
      <c r="H133" s="46">
        <f t="shared" si="2"/>
        <v>0</v>
      </c>
      <c r="I133" s="47"/>
    </row>
    <row r="134" ht="15.75" customHeight="1">
      <c r="A134" s="51">
        <v>46371.0</v>
      </c>
      <c r="B134" s="52" t="s">
        <v>117</v>
      </c>
      <c r="C134" s="50" t="s">
        <v>22</v>
      </c>
      <c r="D134" s="49"/>
      <c r="E134" s="53"/>
      <c r="F134" s="49"/>
      <c r="G134" s="44" t="str">
        <f t="shared" si="1"/>
        <v/>
      </c>
      <c r="H134" s="46">
        <f t="shared" si="2"/>
        <v>0</v>
      </c>
      <c r="I134" s="47"/>
    </row>
    <row r="135" ht="15.75" customHeight="1">
      <c r="A135" s="38">
        <v>46378.0</v>
      </c>
      <c r="B135" s="39" t="s">
        <v>110</v>
      </c>
      <c r="C135" s="50" t="s">
        <v>25</v>
      </c>
      <c r="D135" s="49"/>
      <c r="E135" s="53"/>
      <c r="F135" s="49"/>
      <c r="G135" s="44" t="str">
        <f t="shared" si="1"/>
        <v/>
      </c>
      <c r="H135" s="46">
        <f t="shared" si="2"/>
        <v>0</v>
      </c>
      <c r="I135" s="47"/>
    </row>
    <row r="136" ht="15.75" customHeight="1">
      <c r="A136" s="38">
        <v>46378.0</v>
      </c>
      <c r="B136" s="39" t="s">
        <v>110</v>
      </c>
      <c r="C136" s="50" t="s">
        <v>20</v>
      </c>
      <c r="D136" s="49"/>
      <c r="E136" s="53"/>
      <c r="F136" s="49"/>
      <c r="G136" s="44" t="str">
        <f t="shared" si="1"/>
        <v/>
      </c>
      <c r="H136" s="46">
        <f t="shared" si="2"/>
        <v>0</v>
      </c>
      <c r="I136" s="47"/>
    </row>
    <row r="137" ht="15.75" customHeight="1">
      <c r="A137" s="38">
        <v>46378.0</v>
      </c>
      <c r="B137" s="39" t="s">
        <v>110</v>
      </c>
      <c r="C137" s="50" t="s">
        <v>34</v>
      </c>
      <c r="D137" s="49"/>
      <c r="E137" s="53"/>
      <c r="F137" s="49"/>
      <c r="G137" s="44" t="str">
        <f t="shared" si="1"/>
        <v/>
      </c>
      <c r="H137" s="46">
        <f t="shared" si="2"/>
        <v>0</v>
      </c>
      <c r="I137" s="47"/>
    </row>
    <row r="138" ht="15.75" customHeight="1">
      <c r="A138" s="38">
        <v>46378.0</v>
      </c>
      <c r="B138" s="39" t="s">
        <v>110</v>
      </c>
      <c r="C138" s="50" t="s">
        <v>16</v>
      </c>
      <c r="D138" s="49"/>
      <c r="E138" s="53"/>
      <c r="F138" s="49"/>
      <c r="G138" s="44" t="str">
        <f t="shared" si="1"/>
        <v/>
      </c>
      <c r="H138" s="46">
        <f t="shared" si="2"/>
        <v>0</v>
      </c>
      <c r="I138" s="47"/>
    </row>
    <row r="139" ht="15.75" customHeight="1">
      <c r="A139" s="51">
        <v>46378.0</v>
      </c>
      <c r="B139" s="52" t="s">
        <v>117</v>
      </c>
      <c r="C139" s="50" t="s">
        <v>35</v>
      </c>
      <c r="D139" s="49"/>
      <c r="E139" s="53"/>
      <c r="F139" s="49"/>
      <c r="G139" s="44" t="str">
        <f t="shared" si="1"/>
        <v/>
      </c>
      <c r="H139" s="46">
        <f t="shared" si="2"/>
        <v>0</v>
      </c>
      <c r="I139" s="47"/>
    </row>
    <row r="140" ht="15.75" customHeight="1">
      <c r="A140" s="51">
        <v>46378.0</v>
      </c>
      <c r="B140" s="52" t="s">
        <v>117</v>
      </c>
      <c r="C140" s="50" t="s">
        <v>41</v>
      </c>
      <c r="D140" s="49"/>
      <c r="E140" s="53"/>
      <c r="F140" s="49"/>
      <c r="G140" s="44" t="str">
        <f t="shared" si="1"/>
        <v/>
      </c>
      <c r="H140" s="46">
        <f t="shared" si="2"/>
        <v>0</v>
      </c>
      <c r="I140" s="47"/>
    </row>
    <row r="141" ht="15.75" customHeight="1">
      <c r="A141" s="51">
        <v>46378.0</v>
      </c>
      <c r="B141" s="52" t="s">
        <v>117</v>
      </c>
      <c r="C141" s="50" t="s">
        <v>53</v>
      </c>
      <c r="D141" s="49"/>
      <c r="E141" s="53"/>
      <c r="F141" s="49"/>
      <c r="G141" s="44" t="str">
        <f t="shared" si="1"/>
        <v/>
      </c>
      <c r="H141" s="46">
        <f t="shared" si="2"/>
        <v>0</v>
      </c>
      <c r="I141" s="47"/>
    </row>
    <row r="142" ht="15.75" customHeight="1">
      <c r="A142" s="51">
        <v>46378.0</v>
      </c>
      <c r="B142" s="52" t="s">
        <v>117</v>
      </c>
      <c r="C142" s="50" t="s">
        <v>22</v>
      </c>
      <c r="D142" s="49"/>
      <c r="E142" s="53"/>
      <c r="F142" s="49"/>
      <c r="G142" s="44" t="str">
        <f t="shared" si="1"/>
        <v/>
      </c>
      <c r="H142" s="46">
        <f t="shared" si="2"/>
        <v>0</v>
      </c>
      <c r="I142" s="47"/>
    </row>
    <row r="143" ht="15.75" customHeight="1">
      <c r="A143" s="38">
        <v>46385.0</v>
      </c>
      <c r="B143" s="39" t="s">
        <v>110</v>
      </c>
      <c r="C143" s="50" t="s">
        <v>25</v>
      </c>
      <c r="D143" s="49"/>
      <c r="E143" s="53"/>
      <c r="F143" s="49"/>
      <c r="G143" s="44" t="str">
        <f t="shared" si="1"/>
        <v/>
      </c>
      <c r="H143" s="46">
        <f t="shared" si="2"/>
        <v>0</v>
      </c>
      <c r="I143" s="47"/>
    </row>
    <row r="144" ht="15.75" customHeight="1">
      <c r="A144" s="38">
        <v>46385.0</v>
      </c>
      <c r="B144" s="39" t="s">
        <v>110</v>
      </c>
      <c r="C144" s="50" t="s">
        <v>20</v>
      </c>
      <c r="D144" s="49"/>
      <c r="E144" s="53"/>
      <c r="F144" s="49"/>
      <c r="G144" s="44" t="str">
        <f t="shared" si="1"/>
        <v/>
      </c>
      <c r="H144" s="46">
        <f t="shared" si="2"/>
        <v>0</v>
      </c>
      <c r="I144" s="47"/>
    </row>
    <row r="145" ht="15.75" customHeight="1">
      <c r="A145" s="38">
        <v>46385.0</v>
      </c>
      <c r="B145" s="39" t="s">
        <v>110</v>
      </c>
      <c r="C145" s="50" t="s">
        <v>34</v>
      </c>
      <c r="D145" s="49"/>
      <c r="E145" s="53"/>
      <c r="F145" s="49"/>
      <c r="G145" s="44" t="str">
        <f t="shared" si="1"/>
        <v/>
      </c>
      <c r="H145" s="46">
        <f t="shared" si="2"/>
        <v>0</v>
      </c>
      <c r="I145" s="47"/>
    </row>
    <row r="146" ht="15.75" customHeight="1">
      <c r="A146" s="38">
        <v>46385.0</v>
      </c>
      <c r="B146" s="39" t="s">
        <v>110</v>
      </c>
      <c r="C146" s="50" t="s">
        <v>16</v>
      </c>
      <c r="D146" s="49"/>
      <c r="E146" s="53"/>
      <c r="F146" s="49"/>
      <c r="G146" s="44" t="str">
        <f t="shared" si="1"/>
        <v/>
      </c>
      <c r="H146" s="46">
        <f t="shared" si="2"/>
        <v>0</v>
      </c>
      <c r="I146" s="47"/>
    </row>
    <row r="147" ht="15.75" customHeight="1">
      <c r="A147" s="51">
        <v>46385.0</v>
      </c>
      <c r="B147" s="52" t="s">
        <v>117</v>
      </c>
      <c r="C147" s="50" t="s">
        <v>35</v>
      </c>
      <c r="D147" s="49"/>
      <c r="E147" s="53"/>
      <c r="F147" s="49"/>
      <c r="G147" s="44" t="str">
        <f t="shared" si="1"/>
        <v/>
      </c>
      <c r="H147" s="46">
        <f t="shared" si="2"/>
        <v>0</v>
      </c>
      <c r="I147" s="47"/>
    </row>
    <row r="148" ht="15.75" customHeight="1">
      <c r="A148" s="51">
        <v>46385.0</v>
      </c>
      <c r="B148" s="52" t="s">
        <v>117</v>
      </c>
      <c r="C148" s="50" t="s">
        <v>41</v>
      </c>
      <c r="D148" s="49"/>
      <c r="E148" s="53"/>
      <c r="F148" s="49"/>
      <c r="G148" s="44" t="str">
        <f t="shared" si="1"/>
        <v/>
      </c>
      <c r="H148" s="46">
        <f t="shared" si="2"/>
        <v>0</v>
      </c>
      <c r="I148" s="47"/>
    </row>
    <row r="149" ht="15.75" customHeight="1">
      <c r="A149" s="51">
        <v>46385.0</v>
      </c>
      <c r="B149" s="52" t="s">
        <v>117</v>
      </c>
      <c r="C149" s="50" t="s">
        <v>53</v>
      </c>
      <c r="D149" s="49"/>
      <c r="E149" s="53"/>
      <c r="F149" s="49"/>
      <c r="G149" s="44" t="str">
        <f t="shared" si="1"/>
        <v/>
      </c>
      <c r="H149" s="46">
        <f t="shared" si="2"/>
        <v>0</v>
      </c>
      <c r="I149" s="47"/>
    </row>
    <row r="150" ht="15.75" customHeight="1">
      <c r="A150" s="51">
        <v>46385.0</v>
      </c>
      <c r="B150" s="52" t="s">
        <v>117</v>
      </c>
      <c r="C150" s="50" t="s">
        <v>22</v>
      </c>
      <c r="D150" s="49"/>
      <c r="E150" s="53"/>
      <c r="F150" s="49"/>
      <c r="G150" s="44" t="str">
        <f t="shared" si="1"/>
        <v/>
      </c>
      <c r="H150" s="46">
        <f t="shared" si="2"/>
        <v>0</v>
      </c>
      <c r="I150" s="47"/>
    </row>
    <row r="151" ht="15.75" customHeight="1">
      <c r="A151" s="38">
        <v>46392.0</v>
      </c>
      <c r="B151" s="39" t="s">
        <v>110</v>
      </c>
      <c r="C151" s="50" t="s">
        <v>25</v>
      </c>
      <c r="D151" s="49"/>
      <c r="E151" s="53"/>
      <c r="F151" s="49"/>
      <c r="G151" s="44" t="str">
        <f t="shared" si="1"/>
        <v/>
      </c>
      <c r="H151" s="46">
        <f t="shared" si="2"/>
        <v>0</v>
      </c>
      <c r="I151" s="47"/>
    </row>
    <row r="152" ht="15.75" customHeight="1">
      <c r="A152" s="38">
        <v>46392.0</v>
      </c>
      <c r="B152" s="39" t="s">
        <v>110</v>
      </c>
      <c r="C152" s="50" t="s">
        <v>20</v>
      </c>
      <c r="D152" s="49"/>
      <c r="E152" s="53"/>
      <c r="F152" s="49"/>
      <c r="G152" s="44" t="str">
        <f t="shared" si="1"/>
        <v/>
      </c>
      <c r="H152" s="46">
        <f t="shared" si="2"/>
        <v>0</v>
      </c>
      <c r="I152" s="47"/>
    </row>
    <row r="153" ht="15.75" customHeight="1">
      <c r="A153" s="38">
        <v>46392.0</v>
      </c>
      <c r="B153" s="39" t="s">
        <v>110</v>
      </c>
      <c r="C153" s="50" t="s">
        <v>34</v>
      </c>
      <c r="D153" s="49"/>
      <c r="E153" s="53"/>
      <c r="F153" s="49"/>
      <c r="G153" s="44" t="str">
        <f t="shared" si="1"/>
        <v/>
      </c>
      <c r="H153" s="46">
        <f t="shared" si="2"/>
        <v>0</v>
      </c>
      <c r="I153" s="47"/>
    </row>
    <row r="154" ht="15.75" customHeight="1">
      <c r="A154" s="38">
        <v>46392.0</v>
      </c>
      <c r="B154" s="39" t="s">
        <v>110</v>
      </c>
      <c r="C154" s="50" t="s">
        <v>16</v>
      </c>
      <c r="D154" s="49"/>
      <c r="E154" s="53"/>
      <c r="F154" s="49"/>
      <c r="G154" s="44" t="str">
        <f t="shared" si="1"/>
        <v/>
      </c>
      <c r="H154" s="46">
        <f t="shared" si="2"/>
        <v>0</v>
      </c>
      <c r="I154" s="47"/>
    </row>
    <row r="155" ht="15.75" customHeight="1">
      <c r="A155" s="51">
        <v>46392.0</v>
      </c>
      <c r="B155" s="52" t="s">
        <v>117</v>
      </c>
      <c r="C155" s="50" t="s">
        <v>35</v>
      </c>
      <c r="D155" s="49"/>
      <c r="E155" s="53"/>
      <c r="F155" s="49"/>
      <c r="G155" s="44" t="str">
        <f t="shared" si="1"/>
        <v/>
      </c>
      <c r="H155" s="46">
        <f t="shared" si="2"/>
        <v>0</v>
      </c>
      <c r="I155" s="47"/>
    </row>
    <row r="156" ht="15.75" customHeight="1">
      <c r="A156" s="51">
        <v>46392.0</v>
      </c>
      <c r="B156" s="52" t="s">
        <v>117</v>
      </c>
      <c r="C156" s="50" t="s">
        <v>41</v>
      </c>
      <c r="D156" s="49"/>
      <c r="E156" s="53"/>
      <c r="F156" s="49"/>
      <c r="G156" s="44" t="str">
        <f t="shared" si="1"/>
        <v/>
      </c>
      <c r="H156" s="46">
        <f t="shared" si="2"/>
        <v>0</v>
      </c>
      <c r="I156" s="47"/>
    </row>
    <row r="157" ht="15.75" customHeight="1">
      <c r="A157" s="51">
        <v>46392.0</v>
      </c>
      <c r="B157" s="52" t="s">
        <v>117</v>
      </c>
      <c r="C157" s="50" t="s">
        <v>53</v>
      </c>
      <c r="D157" s="49"/>
      <c r="E157" s="53"/>
      <c r="F157" s="49"/>
      <c r="G157" s="44" t="str">
        <f t="shared" si="1"/>
        <v/>
      </c>
      <c r="H157" s="46">
        <f t="shared" si="2"/>
        <v>0</v>
      </c>
      <c r="I157" s="47"/>
    </row>
    <row r="158" ht="15.75" customHeight="1">
      <c r="A158" s="51">
        <v>46392.0</v>
      </c>
      <c r="B158" s="52" t="s">
        <v>117</v>
      </c>
      <c r="C158" s="50" t="s">
        <v>22</v>
      </c>
      <c r="D158" s="49"/>
      <c r="E158" s="53"/>
      <c r="F158" s="49"/>
      <c r="G158" s="44" t="str">
        <f t="shared" si="1"/>
        <v/>
      </c>
      <c r="H158" s="46">
        <f t="shared" si="2"/>
        <v>0</v>
      </c>
      <c r="I158" s="47"/>
    </row>
    <row r="159" ht="15.75" customHeight="1">
      <c r="A159" s="38">
        <v>46399.0</v>
      </c>
      <c r="B159" s="39" t="s">
        <v>110</v>
      </c>
      <c r="C159" s="50" t="s">
        <v>25</v>
      </c>
      <c r="D159" s="49"/>
      <c r="E159" s="53"/>
      <c r="F159" s="49"/>
      <c r="G159" s="44" t="str">
        <f t="shared" si="1"/>
        <v/>
      </c>
      <c r="H159" s="46">
        <f t="shared" si="2"/>
        <v>0</v>
      </c>
      <c r="I159" s="47"/>
    </row>
    <row r="160" ht="15.75" customHeight="1">
      <c r="A160" s="38">
        <v>46399.0</v>
      </c>
      <c r="B160" s="39" t="s">
        <v>110</v>
      </c>
      <c r="C160" s="50" t="s">
        <v>20</v>
      </c>
      <c r="D160" s="49"/>
      <c r="E160" s="53"/>
      <c r="F160" s="49"/>
      <c r="G160" s="44" t="str">
        <f t="shared" si="1"/>
        <v/>
      </c>
      <c r="H160" s="46">
        <f t="shared" si="2"/>
        <v>0</v>
      </c>
      <c r="I160" s="47"/>
    </row>
    <row r="161" ht="15.75" customHeight="1">
      <c r="A161" s="38">
        <v>46399.0</v>
      </c>
      <c r="B161" s="39" t="s">
        <v>110</v>
      </c>
      <c r="C161" s="50" t="s">
        <v>34</v>
      </c>
      <c r="D161" s="49"/>
      <c r="E161" s="53"/>
      <c r="F161" s="49"/>
      <c r="G161" s="44" t="str">
        <f t="shared" si="1"/>
        <v/>
      </c>
      <c r="H161" s="46">
        <f t="shared" si="2"/>
        <v>0</v>
      </c>
      <c r="I161" s="47"/>
    </row>
    <row r="162" ht="15.75" customHeight="1">
      <c r="A162" s="38">
        <v>46399.0</v>
      </c>
      <c r="B162" s="39" t="s">
        <v>110</v>
      </c>
      <c r="C162" s="50" t="s">
        <v>16</v>
      </c>
      <c r="D162" s="49"/>
      <c r="E162" s="53"/>
      <c r="F162" s="49"/>
      <c r="G162" s="44" t="str">
        <f t="shared" si="1"/>
        <v/>
      </c>
      <c r="H162" s="46">
        <f t="shared" si="2"/>
        <v>0</v>
      </c>
      <c r="I162" s="47"/>
    </row>
    <row r="163" ht="15.75" customHeight="1">
      <c r="A163" s="51">
        <v>46399.0</v>
      </c>
      <c r="B163" s="52" t="s">
        <v>117</v>
      </c>
      <c r="C163" s="50" t="s">
        <v>35</v>
      </c>
      <c r="D163" s="49"/>
      <c r="E163" s="53"/>
      <c r="F163" s="49"/>
      <c r="G163" s="44" t="str">
        <f t="shared" si="1"/>
        <v/>
      </c>
      <c r="H163" s="46">
        <f t="shared" si="2"/>
        <v>0</v>
      </c>
      <c r="I163" s="47"/>
    </row>
    <row r="164" ht="15.75" customHeight="1">
      <c r="A164" s="51">
        <v>46399.0</v>
      </c>
      <c r="B164" s="52" t="s">
        <v>117</v>
      </c>
      <c r="C164" s="50" t="s">
        <v>41</v>
      </c>
      <c r="D164" s="49"/>
      <c r="E164" s="53"/>
      <c r="F164" s="49"/>
      <c r="G164" s="44" t="str">
        <f t="shared" si="1"/>
        <v/>
      </c>
      <c r="H164" s="46">
        <f t="shared" si="2"/>
        <v>0</v>
      </c>
      <c r="I164" s="47"/>
    </row>
    <row r="165" ht="15.75" customHeight="1">
      <c r="A165" s="51">
        <v>46399.0</v>
      </c>
      <c r="B165" s="52" t="s">
        <v>117</v>
      </c>
      <c r="C165" s="50" t="s">
        <v>53</v>
      </c>
      <c r="D165" s="49"/>
      <c r="E165" s="53"/>
      <c r="F165" s="49"/>
      <c r="G165" s="44" t="str">
        <f t="shared" si="1"/>
        <v/>
      </c>
      <c r="H165" s="46">
        <f t="shared" si="2"/>
        <v>0</v>
      </c>
      <c r="I165" s="47"/>
    </row>
    <row r="166" ht="15.75" customHeight="1">
      <c r="A166" s="51">
        <v>46399.0</v>
      </c>
      <c r="B166" s="52" t="s">
        <v>117</v>
      </c>
      <c r="C166" s="50" t="s">
        <v>22</v>
      </c>
      <c r="D166" s="49"/>
      <c r="E166" s="53"/>
      <c r="F166" s="49"/>
      <c r="G166" s="44" t="str">
        <f t="shared" si="1"/>
        <v/>
      </c>
      <c r="H166" s="46">
        <f t="shared" si="2"/>
        <v>0</v>
      </c>
      <c r="I166" s="47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mergeCells count="2">
    <mergeCell ref="A1:H1"/>
    <mergeCell ref="A2:H2"/>
  </mergeCells>
  <conditionalFormatting sqref="G7:G166">
    <cfRule type="containsText" dxfId="5" priority="1" operator="containsText" text="Ya">
      <formula>NOT(ISERROR(SEARCH(("Ya"),(G7))))</formula>
    </cfRule>
  </conditionalFormatting>
  <conditionalFormatting sqref="G7:G166">
    <cfRule type="containsText" dxfId="6" priority="2" operator="containsText" text="Tidak">
      <formula>NOT(ISERROR(SEARCH(("Tidak"),(G7))))</formula>
    </cfRule>
  </conditionalFormatting>
  <dataValidations>
    <dataValidation type="list" allowBlank="1" sqref="B7:B166">
      <formula1>"Pagi,Siang"</formula1>
    </dataValidation>
    <dataValidation type="custom" allowBlank="1" showDropDown="1" sqref="E7:E166">
      <formula1>OR(TIMEVALUE(TEXT(E7, "hh:mm:ss"))=E7, AND(ISNUMBER(E7), LEFT(CELL("format", E7))="D"))</formula1>
    </dataValidation>
    <dataValidation type="custom" allowBlank="1" sqref="A7:A166">
      <formula1>OR(NOT(ISERROR(DATEVALUE(A7))), AND(ISNUMBER(A7), LEFT(CELL("format", A7))="D"))</formula1>
    </dataValidation>
    <dataValidation type="list" allowBlank="1" sqref="G7:G166">
      <formula1>"Ya,Tidak"</formula1>
    </dataValidation>
    <dataValidation type="list" allowBlank="1" sqref="F7:F166">
      <formula1>"Ya,Tidak"</formula1>
    </dataValidation>
    <dataValidation type="custom" allowBlank="1" sqref="H7:H166">
      <formula1/>
    </dataValidation>
    <dataValidation type="list" allowBlank="1" sqref="D7:D166">
      <formula1>"Hadir,Tidak Hadir"</formula1>
    </dataValidation>
    <dataValidation type="list" allowBlank="1" sqref="I7:I166">
      <formula1>"Lunas,Belum Lunas"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86"/>
    <col customWidth="1" min="2" max="2" width="11.71"/>
    <col customWidth="1" min="3" max="3" width="30.86"/>
    <col customWidth="1" min="4" max="4" width="15.86"/>
    <col customWidth="1" min="5" max="5" width="21.0"/>
    <col customWidth="1" min="6" max="6" width="20.57"/>
    <col customWidth="1" min="7" max="7" width="13.29"/>
    <col customWidth="1" min="8" max="8" width="20.71"/>
    <col customWidth="1" min="9" max="9" width="22.43"/>
  </cols>
  <sheetData>
    <row r="1" ht="18.0" customHeight="1">
      <c r="A1" s="5" t="s">
        <v>118</v>
      </c>
      <c r="B1" s="6"/>
      <c r="C1" s="6"/>
      <c r="D1" s="6"/>
      <c r="E1" s="6"/>
      <c r="F1" s="6"/>
      <c r="G1" s="6"/>
      <c r="H1" s="7"/>
    </row>
    <row r="2" ht="14.25" customHeight="1">
      <c r="A2" s="24" t="s">
        <v>74</v>
      </c>
    </row>
    <row r="3" ht="14.25" customHeight="1">
      <c r="A3" s="25" t="s">
        <v>84</v>
      </c>
      <c r="B3" s="26" t="s">
        <v>119</v>
      </c>
    </row>
    <row r="4" ht="14.25" customHeight="1">
      <c r="A4" s="25" t="s">
        <v>95</v>
      </c>
      <c r="B4" s="26" t="s">
        <v>120</v>
      </c>
    </row>
    <row r="6" ht="42.75" customHeight="1">
      <c r="A6" s="33" t="s">
        <v>97</v>
      </c>
      <c r="B6" s="33" t="s">
        <v>102</v>
      </c>
      <c r="C6" s="33" t="s">
        <v>8</v>
      </c>
      <c r="D6" s="33" t="s">
        <v>103</v>
      </c>
      <c r="E6" s="33" t="s">
        <v>104</v>
      </c>
      <c r="F6" s="33" t="s">
        <v>105</v>
      </c>
      <c r="G6" s="33" t="s">
        <v>106</v>
      </c>
      <c r="H6" s="33" t="s">
        <v>108</v>
      </c>
      <c r="I6" s="37" t="s">
        <v>109</v>
      </c>
    </row>
    <row r="7" ht="22.5" customHeight="1">
      <c r="A7" s="38">
        <v>46267.0</v>
      </c>
      <c r="B7" s="39" t="s">
        <v>110</v>
      </c>
      <c r="C7" s="54" t="s">
        <v>38</v>
      </c>
      <c r="D7" s="42" t="s">
        <v>114</v>
      </c>
      <c r="E7" s="43"/>
      <c r="F7" s="42" t="s">
        <v>112</v>
      </c>
      <c r="G7" s="44" t="str">
        <f t="shared" ref="G7:G206" si="1">IF($F7="Ya","Tidak",IF($D7="Tidak Hadir","Ya",IF($D7="","",IF($E7="",IF(NOW()&gt;$A7+IF($B7="Pagi",TIME(12,30,0),TIME(15,0,0)),"Ya",""),IF(IF(OR($C7="Alya Dwi Nurmiyati",$C7="Bagas Aryo Wicaksono",$C7="Dastin Rangga Berani",$C7="Fadhil Rusydi Hafizh",$C7="Febinadia Salsabila",$C7="Gusti Agung Ayu Savithri Nirmalasari",$C7="Maria Ellora Damarkasih",$C7="Mohammad Aqsha Dwinovryan",$C7="Najwa Aulia Putri",$C7="Reksa Utami",$C7="Surya Winaldi Yakin",$C7="Yossi Tri Rahmanda"),$E7&gt;IF($B7="Pagi",TIME(10,15,0),TIME(12,45,0)),$E7&gt;IF($B7="Pagi",TIME(10,30,0),TIME(13,0,0))),"Ya","Tidak")))))</f>
        <v>Tidak</v>
      </c>
      <c r="H7" s="46">
        <f t="shared" ref="H7:H206" si="2">IF($F7="Ya",0,IF($G7="Ya",IF($D7="Tidak Hadir",10000,IF($E7="",10000,5000)),0))</f>
        <v>0</v>
      </c>
      <c r="I7" s="47"/>
    </row>
    <row r="8" ht="22.5" customHeight="1">
      <c r="A8" s="38">
        <v>46267.0</v>
      </c>
      <c r="B8" s="39" t="s">
        <v>110</v>
      </c>
      <c r="C8" s="54" t="s">
        <v>56</v>
      </c>
      <c r="D8" s="42" t="s">
        <v>114</v>
      </c>
      <c r="E8" s="53"/>
      <c r="F8" s="42" t="s">
        <v>112</v>
      </c>
      <c r="G8" s="44" t="str">
        <f t="shared" si="1"/>
        <v>Tidak</v>
      </c>
      <c r="H8" s="46">
        <f t="shared" si="2"/>
        <v>0</v>
      </c>
      <c r="I8" s="47"/>
    </row>
    <row r="9" ht="22.5" customHeight="1">
      <c r="A9" s="38">
        <v>46267.0</v>
      </c>
      <c r="B9" s="39" t="s">
        <v>110</v>
      </c>
      <c r="C9" s="54" t="s">
        <v>30</v>
      </c>
      <c r="D9" s="42" t="s">
        <v>114</v>
      </c>
      <c r="E9" s="53"/>
      <c r="F9" s="42" t="s">
        <v>112</v>
      </c>
      <c r="G9" s="44" t="str">
        <f t="shared" si="1"/>
        <v>Tidak</v>
      </c>
      <c r="H9" s="46">
        <f t="shared" si="2"/>
        <v>0</v>
      </c>
      <c r="I9" s="47"/>
    </row>
    <row r="10" ht="22.5" customHeight="1">
      <c r="A10" s="38">
        <v>46267.0</v>
      </c>
      <c r="B10" s="39" t="s">
        <v>110</v>
      </c>
      <c r="C10" s="54" t="s">
        <v>50</v>
      </c>
      <c r="D10" s="42" t="s">
        <v>111</v>
      </c>
      <c r="E10" s="53"/>
      <c r="F10" s="42" t="s">
        <v>112</v>
      </c>
      <c r="G10" s="44" t="str">
        <f t="shared" si="1"/>
        <v>Tidak</v>
      </c>
      <c r="H10" s="46">
        <f t="shared" si="2"/>
        <v>0</v>
      </c>
      <c r="I10" s="47"/>
    </row>
    <row r="11" ht="22.5" customHeight="1">
      <c r="A11" s="38">
        <v>46267.0</v>
      </c>
      <c r="B11" s="39" t="s">
        <v>110</v>
      </c>
      <c r="C11" s="54" t="s">
        <v>59</v>
      </c>
      <c r="D11" s="42" t="s">
        <v>114</v>
      </c>
      <c r="E11" s="53"/>
      <c r="F11" s="42" t="s">
        <v>112</v>
      </c>
      <c r="G11" s="44" t="str">
        <f t="shared" si="1"/>
        <v>Tidak</v>
      </c>
      <c r="H11" s="46">
        <f t="shared" si="2"/>
        <v>0</v>
      </c>
      <c r="I11" s="47"/>
    </row>
    <row r="12" ht="22.5" customHeight="1">
      <c r="A12" s="51">
        <v>46267.0</v>
      </c>
      <c r="B12" s="52" t="s">
        <v>117</v>
      </c>
      <c r="C12" s="54" t="s">
        <v>17</v>
      </c>
      <c r="D12" s="42" t="s">
        <v>114</v>
      </c>
      <c r="E12" s="43">
        <v>0.4791666666666667</v>
      </c>
      <c r="F12" s="42" t="s">
        <v>112</v>
      </c>
      <c r="G12" s="44" t="str">
        <f t="shared" si="1"/>
        <v>Tidak</v>
      </c>
      <c r="H12" s="46">
        <f t="shared" si="2"/>
        <v>0</v>
      </c>
      <c r="I12" s="47"/>
    </row>
    <row r="13" ht="22.5" customHeight="1">
      <c r="A13" s="51">
        <v>46267.0</v>
      </c>
      <c r="B13" s="52" t="s">
        <v>117</v>
      </c>
      <c r="C13" s="54" t="s">
        <v>12</v>
      </c>
      <c r="D13" s="42" t="s">
        <v>114</v>
      </c>
      <c r="E13" s="43">
        <v>0.5138888888888888</v>
      </c>
      <c r="F13" s="42" t="s">
        <v>112</v>
      </c>
      <c r="G13" s="44" t="str">
        <f t="shared" si="1"/>
        <v>Tidak</v>
      </c>
      <c r="H13" s="46">
        <f t="shared" si="2"/>
        <v>0</v>
      </c>
      <c r="I13" s="47"/>
    </row>
    <row r="14" ht="22.5" customHeight="1">
      <c r="A14" s="51">
        <v>46267.0</v>
      </c>
      <c r="B14" s="52" t="s">
        <v>117</v>
      </c>
      <c r="C14" s="54" t="s">
        <v>47</v>
      </c>
      <c r="D14" s="42" t="s">
        <v>114</v>
      </c>
      <c r="E14" s="43">
        <v>0.4375</v>
      </c>
      <c r="F14" s="42" t="s">
        <v>112</v>
      </c>
      <c r="G14" s="44" t="str">
        <f t="shared" si="1"/>
        <v>Tidak</v>
      </c>
      <c r="H14" s="46">
        <f t="shared" si="2"/>
        <v>0</v>
      </c>
      <c r="I14" s="47"/>
    </row>
    <row r="15" ht="22.5" customHeight="1">
      <c r="A15" s="51">
        <v>46267.0</v>
      </c>
      <c r="B15" s="52" t="s">
        <v>117</v>
      </c>
      <c r="C15" s="54" t="s">
        <v>18</v>
      </c>
      <c r="D15" s="42" t="s">
        <v>114</v>
      </c>
      <c r="E15" s="43">
        <v>0.53125</v>
      </c>
      <c r="F15" s="42" t="s">
        <v>112</v>
      </c>
      <c r="G15" s="44" t="str">
        <f t="shared" si="1"/>
        <v>Tidak</v>
      </c>
      <c r="H15" s="46">
        <f t="shared" si="2"/>
        <v>0</v>
      </c>
      <c r="I15" s="47"/>
    </row>
    <row r="16" ht="22.5" customHeight="1">
      <c r="A16" s="51">
        <v>46267.0</v>
      </c>
      <c r="B16" s="52" t="s">
        <v>117</v>
      </c>
      <c r="C16" s="54" t="s">
        <v>37</v>
      </c>
      <c r="D16" s="42" t="s">
        <v>111</v>
      </c>
      <c r="E16" s="53"/>
      <c r="F16" s="42" t="s">
        <v>112</v>
      </c>
      <c r="G16" s="44" t="str">
        <f t="shared" si="1"/>
        <v>Tidak</v>
      </c>
      <c r="H16" s="46">
        <f t="shared" si="2"/>
        <v>0</v>
      </c>
      <c r="I16" s="47"/>
    </row>
    <row r="17" ht="15.75" customHeight="1">
      <c r="A17" s="38">
        <v>46274.0</v>
      </c>
      <c r="B17" s="39" t="s">
        <v>110</v>
      </c>
      <c r="C17" s="54" t="s">
        <v>38</v>
      </c>
      <c r="D17" s="42" t="s">
        <v>111</v>
      </c>
      <c r="E17" s="53"/>
      <c r="F17" s="42" t="s">
        <v>112</v>
      </c>
      <c r="G17" s="44" t="str">
        <f t="shared" si="1"/>
        <v>Tidak</v>
      </c>
      <c r="H17" s="46">
        <f t="shared" si="2"/>
        <v>0</v>
      </c>
      <c r="I17" s="47"/>
    </row>
    <row r="18" ht="15.75" customHeight="1">
      <c r="A18" s="38">
        <v>46274.0</v>
      </c>
      <c r="B18" s="39" t="s">
        <v>110</v>
      </c>
      <c r="C18" s="54" t="s">
        <v>56</v>
      </c>
      <c r="D18" s="42" t="s">
        <v>114</v>
      </c>
      <c r="E18" s="53"/>
      <c r="F18" s="42" t="s">
        <v>112</v>
      </c>
      <c r="G18" s="44" t="str">
        <f t="shared" si="1"/>
        <v>Tidak</v>
      </c>
      <c r="H18" s="46">
        <f t="shared" si="2"/>
        <v>0</v>
      </c>
      <c r="I18" s="47"/>
    </row>
    <row r="19" ht="15.75" customHeight="1">
      <c r="A19" s="38">
        <v>46274.0</v>
      </c>
      <c r="B19" s="39" t="s">
        <v>110</v>
      </c>
      <c r="C19" s="54" t="s">
        <v>30</v>
      </c>
      <c r="D19" s="42" t="s">
        <v>114</v>
      </c>
      <c r="E19" s="53"/>
      <c r="F19" s="42" t="s">
        <v>112</v>
      </c>
      <c r="G19" s="44" t="str">
        <f t="shared" si="1"/>
        <v>Tidak</v>
      </c>
      <c r="H19" s="46">
        <f t="shared" si="2"/>
        <v>0</v>
      </c>
      <c r="I19" s="47"/>
    </row>
    <row r="20" ht="15.75" customHeight="1">
      <c r="A20" s="38">
        <v>46274.0</v>
      </c>
      <c r="B20" s="39" t="s">
        <v>110</v>
      </c>
      <c r="C20" s="54" t="s">
        <v>50</v>
      </c>
      <c r="D20" s="42" t="s">
        <v>111</v>
      </c>
      <c r="E20" s="53"/>
      <c r="F20" s="42" t="s">
        <v>121</v>
      </c>
      <c r="G20" s="44" t="str">
        <f t="shared" si="1"/>
        <v>Ya</v>
      </c>
      <c r="H20" s="46">
        <f t="shared" si="2"/>
        <v>10000</v>
      </c>
      <c r="I20" s="47"/>
    </row>
    <row r="21" ht="15.75" customHeight="1">
      <c r="A21" s="38">
        <v>46274.0</v>
      </c>
      <c r="B21" s="39" t="s">
        <v>110</v>
      </c>
      <c r="C21" s="54" t="s">
        <v>59</v>
      </c>
      <c r="D21" s="42" t="s">
        <v>114</v>
      </c>
      <c r="E21" s="53"/>
      <c r="F21" s="42" t="s">
        <v>112</v>
      </c>
      <c r="G21" s="44" t="str">
        <f t="shared" si="1"/>
        <v>Tidak</v>
      </c>
      <c r="H21" s="46">
        <f t="shared" si="2"/>
        <v>0</v>
      </c>
      <c r="I21" s="47"/>
    </row>
    <row r="22" ht="15.75" customHeight="1">
      <c r="A22" s="51">
        <v>46274.0</v>
      </c>
      <c r="B22" s="52" t="s">
        <v>117</v>
      </c>
      <c r="C22" s="54" t="s">
        <v>17</v>
      </c>
      <c r="D22" s="42" t="s">
        <v>114</v>
      </c>
      <c r="E22" s="53"/>
      <c r="F22" s="42" t="s">
        <v>112</v>
      </c>
      <c r="G22" s="44" t="str">
        <f t="shared" si="1"/>
        <v>Tidak</v>
      </c>
      <c r="H22" s="46">
        <f t="shared" si="2"/>
        <v>0</v>
      </c>
      <c r="I22" s="47"/>
    </row>
    <row r="23" ht="15.75" customHeight="1">
      <c r="A23" s="51">
        <v>46274.0</v>
      </c>
      <c r="B23" s="52" t="s">
        <v>117</v>
      </c>
      <c r="C23" s="54" t="s">
        <v>12</v>
      </c>
      <c r="D23" s="42" t="s">
        <v>111</v>
      </c>
      <c r="E23" s="53"/>
      <c r="F23" s="42" t="s">
        <v>112</v>
      </c>
      <c r="G23" s="44" t="str">
        <f t="shared" si="1"/>
        <v>Tidak</v>
      </c>
      <c r="H23" s="46">
        <f t="shared" si="2"/>
        <v>0</v>
      </c>
      <c r="I23" s="47"/>
    </row>
    <row r="24" ht="15.75" customHeight="1">
      <c r="A24" s="51">
        <v>46274.0</v>
      </c>
      <c r="B24" s="52" t="s">
        <v>117</v>
      </c>
      <c r="C24" s="54" t="s">
        <v>47</v>
      </c>
      <c r="D24" s="42" t="s">
        <v>111</v>
      </c>
      <c r="E24" s="53"/>
      <c r="F24" s="42" t="s">
        <v>112</v>
      </c>
      <c r="G24" s="44" t="str">
        <f t="shared" si="1"/>
        <v>Tidak</v>
      </c>
      <c r="H24" s="46">
        <f t="shared" si="2"/>
        <v>0</v>
      </c>
      <c r="I24" s="47"/>
    </row>
    <row r="25" ht="15.75" customHeight="1">
      <c r="A25" s="51">
        <v>46274.0</v>
      </c>
      <c r="B25" s="52" t="s">
        <v>117</v>
      </c>
      <c r="C25" s="54" t="s">
        <v>18</v>
      </c>
      <c r="D25" s="42" t="s">
        <v>111</v>
      </c>
      <c r="E25" s="53"/>
      <c r="F25" s="42" t="s">
        <v>112</v>
      </c>
      <c r="G25" s="44" t="str">
        <f t="shared" si="1"/>
        <v>Tidak</v>
      </c>
      <c r="H25" s="46">
        <f t="shared" si="2"/>
        <v>0</v>
      </c>
      <c r="I25" s="47"/>
    </row>
    <row r="26" ht="15.75" customHeight="1">
      <c r="A26" s="51">
        <v>46274.0</v>
      </c>
      <c r="B26" s="52" t="s">
        <v>117</v>
      </c>
      <c r="C26" s="54" t="s">
        <v>37</v>
      </c>
      <c r="D26" s="42" t="s">
        <v>114</v>
      </c>
      <c r="E26" s="53"/>
      <c r="F26" s="42" t="s">
        <v>112</v>
      </c>
      <c r="G26" s="44" t="str">
        <f t="shared" si="1"/>
        <v>Tidak</v>
      </c>
      <c r="H26" s="46">
        <f t="shared" si="2"/>
        <v>0</v>
      </c>
      <c r="I26" s="47"/>
    </row>
    <row r="27" ht="15.75" customHeight="1">
      <c r="A27" s="38">
        <v>46281.0</v>
      </c>
      <c r="B27" s="39" t="s">
        <v>110</v>
      </c>
      <c r="C27" s="54" t="s">
        <v>38</v>
      </c>
      <c r="D27" s="42" t="s">
        <v>114</v>
      </c>
      <c r="E27" s="53"/>
      <c r="F27" s="42" t="s">
        <v>112</v>
      </c>
      <c r="G27" s="44" t="str">
        <f t="shared" si="1"/>
        <v>Tidak</v>
      </c>
      <c r="H27" s="46">
        <f t="shared" si="2"/>
        <v>0</v>
      </c>
      <c r="I27" s="47"/>
    </row>
    <row r="28" ht="15.75" customHeight="1">
      <c r="A28" s="38">
        <v>46281.0</v>
      </c>
      <c r="B28" s="39" t="s">
        <v>110</v>
      </c>
      <c r="C28" s="54" t="s">
        <v>56</v>
      </c>
      <c r="D28" s="42" t="s">
        <v>114</v>
      </c>
      <c r="E28" s="53"/>
      <c r="F28" s="42" t="s">
        <v>112</v>
      </c>
      <c r="G28" s="44" t="str">
        <f t="shared" si="1"/>
        <v>Tidak</v>
      </c>
      <c r="H28" s="46">
        <f t="shared" si="2"/>
        <v>0</v>
      </c>
      <c r="I28" s="47"/>
    </row>
    <row r="29" ht="15.75" customHeight="1">
      <c r="A29" s="38">
        <v>46281.0</v>
      </c>
      <c r="B29" s="39" t="s">
        <v>110</v>
      </c>
      <c r="C29" s="54" t="s">
        <v>30</v>
      </c>
      <c r="D29" s="42" t="s">
        <v>114</v>
      </c>
      <c r="E29" s="53"/>
      <c r="F29" s="42" t="s">
        <v>112</v>
      </c>
      <c r="G29" s="44" t="str">
        <f t="shared" si="1"/>
        <v>Tidak</v>
      </c>
      <c r="H29" s="46">
        <f t="shared" si="2"/>
        <v>0</v>
      </c>
      <c r="I29" s="47"/>
    </row>
    <row r="30" ht="15.75" customHeight="1">
      <c r="A30" s="38">
        <v>46281.0</v>
      </c>
      <c r="B30" s="39" t="s">
        <v>110</v>
      </c>
      <c r="C30" s="54" t="s">
        <v>50</v>
      </c>
      <c r="D30" s="49"/>
      <c r="E30" s="53"/>
      <c r="F30" s="49"/>
      <c r="G30" s="44" t="str">
        <f t="shared" si="1"/>
        <v/>
      </c>
      <c r="H30" s="46">
        <f t="shared" si="2"/>
        <v>0</v>
      </c>
      <c r="I30" s="47"/>
    </row>
    <row r="31" ht="15.75" customHeight="1">
      <c r="A31" s="38">
        <v>46281.0</v>
      </c>
      <c r="B31" s="39" t="s">
        <v>110</v>
      </c>
      <c r="C31" s="54" t="s">
        <v>59</v>
      </c>
      <c r="D31" s="49"/>
      <c r="E31" s="53"/>
      <c r="F31" s="49"/>
      <c r="G31" s="44" t="str">
        <f t="shared" si="1"/>
        <v/>
      </c>
      <c r="H31" s="46">
        <f t="shared" si="2"/>
        <v>0</v>
      </c>
      <c r="I31" s="47"/>
    </row>
    <row r="32" ht="15.75" customHeight="1">
      <c r="A32" s="51">
        <v>46281.0</v>
      </c>
      <c r="B32" s="52" t="s">
        <v>117</v>
      </c>
      <c r="C32" s="54" t="s">
        <v>17</v>
      </c>
      <c r="D32" s="49"/>
      <c r="E32" s="53"/>
      <c r="F32" s="49"/>
      <c r="G32" s="44" t="str">
        <f t="shared" si="1"/>
        <v/>
      </c>
      <c r="H32" s="46">
        <f t="shared" si="2"/>
        <v>0</v>
      </c>
      <c r="I32" s="47"/>
    </row>
    <row r="33" ht="15.75" customHeight="1">
      <c r="A33" s="51">
        <v>46281.0</v>
      </c>
      <c r="B33" s="52" t="s">
        <v>117</v>
      </c>
      <c r="C33" s="54" t="s">
        <v>12</v>
      </c>
      <c r="D33" s="49"/>
      <c r="E33" s="53"/>
      <c r="F33" s="49"/>
      <c r="G33" s="44" t="str">
        <f t="shared" si="1"/>
        <v/>
      </c>
      <c r="H33" s="46">
        <f t="shared" si="2"/>
        <v>0</v>
      </c>
      <c r="I33" s="47"/>
    </row>
    <row r="34" ht="15.75" customHeight="1">
      <c r="A34" s="51">
        <v>46281.0</v>
      </c>
      <c r="B34" s="52" t="s">
        <v>117</v>
      </c>
      <c r="C34" s="54" t="s">
        <v>47</v>
      </c>
      <c r="D34" s="49"/>
      <c r="E34" s="53"/>
      <c r="F34" s="49"/>
      <c r="G34" s="44" t="str">
        <f t="shared" si="1"/>
        <v/>
      </c>
      <c r="H34" s="46">
        <f t="shared" si="2"/>
        <v>0</v>
      </c>
      <c r="I34" s="47"/>
    </row>
    <row r="35" ht="15.75" customHeight="1">
      <c r="A35" s="51">
        <v>46281.0</v>
      </c>
      <c r="B35" s="52" t="s">
        <v>117</v>
      </c>
      <c r="C35" s="54" t="s">
        <v>18</v>
      </c>
      <c r="D35" s="49"/>
      <c r="E35" s="53"/>
      <c r="F35" s="49"/>
      <c r="G35" s="44" t="str">
        <f t="shared" si="1"/>
        <v/>
      </c>
      <c r="H35" s="46">
        <f t="shared" si="2"/>
        <v>0</v>
      </c>
      <c r="I35" s="47"/>
    </row>
    <row r="36" ht="15.75" customHeight="1">
      <c r="A36" s="51">
        <v>46281.0</v>
      </c>
      <c r="B36" s="52" t="s">
        <v>117</v>
      </c>
      <c r="C36" s="54" t="s">
        <v>37</v>
      </c>
      <c r="D36" s="49"/>
      <c r="E36" s="53"/>
      <c r="F36" s="49"/>
      <c r="G36" s="44" t="str">
        <f t="shared" si="1"/>
        <v/>
      </c>
      <c r="H36" s="46">
        <f t="shared" si="2"/>
        <v>0</v>
      </c>
      <c r="I36" s="47"/>
    </row>
    <row r="37" ht="15.75" customHeight="1">
      <c r="A37" s="38">
        <v>46288.0</v>
      </c>
      <c r="B37" s="39" t="s">
        <v>110</v>
      </c>
      <c r="C37" s="54" t="s">
        <v>38</v>
      </c>
      <c r="D37" s="49"/>
      <c r="E37" s="53"/>
      <c r="F37" s="49"/>
      <c r="G37" s="44" t="str">
        <f t="shared" si="1"/>
        <v/>
      </c>
      <c r="H37" s="46">
        <f t="shared" si="2"/>
        <v>0</v>
      </c>
      <c r="I37" s="47"/>
    </row>
    <row r="38" ht="15.75" customHeight="1">
      <c r="A38" s="38">
        <v>46288.0</v>
      </c>
      <c r="B38" s="39" t="s">
        <v>110</v>
      </c>
      <c r="C38" s="54" t="s">
        <v>56</v>
      </c>
      <c r="D38" s="49"/>
      <c r="E38" s="53"/>
      <c r="F38" s="49"/>
      <c r="G38" s="44" t="str">
        <f t="shared" si="1"/>
        <v/>
      </c>
      <c r="H38" s="46">
        <f t="shared" si="2"/>
        <v>0</v>
      </c>
      <c r="I38" s="47"/>
    </row>
    <row r="39" ht="15.75" customHeight="1">
      <c r="A39" s="38">
        <v>46288.0</v>
      </c>
      <c r="B39" s="39" t="s">
        <v>110</v>
      </c>
      <c r="C39" s="54" t="s">
        <v>30</v>
      </c>
      <c r="D39" s="49"/>
      <c r="E39" s="53"/>
      <c r="F39" s="49"/>
      <c r="G39" s="44" t="str">
        <f t="shared" si="1"/>
        <v/>
      </c>
      <c r="H39" s="46">
        <f t="shared" si="2"/>
        <v>0</v>
      </c>
      <c r="I39" s="47"/>
    </row>
    <row r="40" ht="15.75" customHeight="1">
      <c r="A40" s="38">
        <v>46288.0</v>
      </c>
      <c r="B40" s="39" t="s">
        <v>110</v>
      </c>
      <c r="C40" s="54" t="s">
        <v>50</v>
      </c>
      <c r="D40" s="49"/>
      <c r="E40" s="53"/>
      <c r="F40" s="49"/>
      <c r="G40" s="44" t="str">
        <f t="shared" si="1"/>
        <v/>
      </c>
      <c r="H40" s="46">
        <f t="shared" si="2"/>
        <v>0</v>
      </c>
      <c r="I40" s="47"/>
    </row>
    <row r="41" ht="15.75" customHeight="1">
      <c r="A41" s="38">
        <v>46288.0</v>
      </c>
      <c r="B41" s="39" t="s">
        <v>110</v>
      </c>
      <c r="C41" s="54" t="s">
        <v>59</v>
      </c>
      <c r="D41" s="49"/>
      <c r="E41" s="53"/>
      <c r="F41" s="49"/>
      <c r="G41" s="44" t="str">
        <f t="shared" si="1"/>
        <v/>
      </c>
      <c r="H41" s="46">
        <f t="shared" si="2"/>
        <v>0</v>
      </c>
      <c r="I41" s="47"/>
    </row>
    <row r="42" ht="15.75" customHeight="1">
      <c r="A42" s="51">
        <v>46288.0</v>
      </c>
      <c r="B42" s="52" t="s">
        <v>117</v>
      </c>
      <c r="C42" s="54" t="s">
        <v>17</v>
      </c>
      <c r="D42" s="49"/>
      <c r="E42" s="53"/>
      <c r="F42" s="49"/>
      <c r="G42" s="44" t="str">
        <f t="shared" si="1"/>
        <v/>
      </c>
      <c r="H42" s="46">
        <f t="shared" si="2"/>
        <v>0</v>
      </c>
      <c r="I42" s="47"/>
    </row>
    <row r="43" ht="15.75" customHeight="1">
      <c r="A43" s="51">
        <v>46288.0</v>
      </c>
      <c r="B43" s="52" t="s">
        <v>117</v>
      </c>
      <c r="C43" s="54" t="s">
        <v>12</v>
      </c>
      <c r="D43" s="49"/>
      <c r="E43" s="53"/>
      <c r="F43" s="49"/>
      <c r="G43" s="44" t="str">
        <f t="shared" si="1"/>
        <v/>
      </c>
      <c r="H43" s="46">
        <f t="shared" si="2"/>
        <v>0</v>
      </c>
      <c r="I43" s="47"/>
    </row>
    <row r="44" ht="15.75" customHeight="1">
      <c r="A44" s="51">
        <v>46288.0</v>
      </c>
      <c r="B44" s="52" t="s">
        <v>117</v>
      </c>
      <c r="C44" s="54" t="s">
        <v>47</v>
      </c>
      <c r="D44" s="49"/>
      <c r="E44" s="53"/>
      <c r="F44" s="49"/>
      <c r="G44" s="44" t="str">
        <f t="shared" si="1"/>
        <v/>
      </c>
      <c r="H44" s="46">
        <f t="shared" si="2"/>
        <v>0</v>
      </c>
      <c r="I44" s="47"/>
    </row>
    <row r="45" ht="15.75" customHeight="1">
      <c r="A45" s="51">
        <v>46288.0</v>
      </c>
      <c r="B45" s="52" t="s">
        <v>117</v>
      </c>
      <c r="C45" s="54" t="s">
        <v>18</v>
      </c>
      <c r="D45" s="49"/>
      <c r="E45" s="53"/>
      <c r="F45" s="49"/>
      <c r="G45" s="44" t="str">
        <f t="shared" si="1"/>
        <v/>
      </c>
      <c r="H45" s="46">
        <f t="shared" si="2"/>
        <v>0</v>
      </c>
      <c r="I45" s="47"/>
    </row>
    <row r="46" ht="15.75" customHeight="1">
      <c r="A46" s="51">
        <v>46288.0</v>
      </c>
      <c r="B46" s="52" t="s">
        <v>117</v>
      </c>
      <c r="C46" s="54" t="s">
        <v>37</v>
      </c>
      <c r="D46" s="49"/>
      <c r="E46" s="53"/>
      <c r="F46" s="49"/>
      <c r="G46" s="44" t="str">
        <f t="shared" si="1"/>
        <v/>
      </c>
      <c r="H46" s="46">
        <f t="shared" si="2"/>
        <v>0</v>
      </c>
      <c r="I46" s="47"/>
    </row>
    <row r="47" ht="15.75" customHeight="1">
      <c r="A47" s="38">
        <v>46295.0</v>
      </c>
      <c r="B47" s="39" t="s">
        <v>110</v>
      </c>
      <c r="C47" s="54" t="s">
        <v>38</v>
      </c>
      <c r="D47" s="49"/>
      <c r="E47" s="53"/>
      <c r="F47" s="49"/>
      <c r="G47" s="44" t="str">
        <f t="shared" si="1"/>
        <v/>
      </c>
      <c r="H47" s="46">
        <f t="shared" si="2"/>
        <v>0</v>
      </c>
      <c r="I47" s="47"/>
    </row>
    <row r="48" ht="15.75" customHeight="1">
      <c r="A48" s="38">
        <v>46295.0</v>
      </c>
      <c r="B48" s="39" t="s">
        <v>110</v>
      </c>
      <c r="C48" s="54" t="s">
        <v>56</v>
      </c>
      <c r="D48" s="49"/>
      <c r="E48" s="53"/>
      <c r="F48" s="49"/>
      <c r="G48" s="44" t="str">
        <f t="shared" si="1"/>
        <v/>
      </c>
      <c r="H48" s="46">
        <f t="shared" si="2"/>
        <v>0</v>
      </c>
      <c r="I48" s="47"/>
    </row>
    <row r="49" ht="15.75" customHeight="1">
      <c r="A49" s="38">
        <v>46295.0</v>
      </c>
      <c r="B49" s="39" t="s">
        <v>110</v>
      </c>
      <c r="C49" s="54" t="s">
        <v>30</v>
      </c>
      <c r="D49" s="49"/>
      <c r="E49" s="53"/>
      <c r="F49" s="49"/>
      <c r="G49" s="44" t="str">
        <f t="shared" si="1"/>
        <v/>
      </c>
      <c r="H49" s="46">
        <f t="shared" si="2"/>
        <v>0</v>
      </c>
      <c r="I49" s="47"/>
    </row>
    <row r="50" ht="15.75" customHeight="1">
      <c r="A50" s="38">
        <v>46295.0</v>
      </c>
      <c r="B50" s="39" t="s">
        <v>110</v>
      </c>
      <c r="C50" s="54" t="s">
        <v>50</v>
      </c>
      <c r="D50" s="49"/>
      <c r="E50" s="53"/>
      <c r="F50" s="49"/>
      <c r="G50" s="44" t="str">
        <f t="shared" si="1"/>
        <v/>
      </c>
      <c r="H50" s="46">
        <f t="shared" si="2"/>
        <v>0</v>
      </c>
      <c r="I50" s="47"/>
    </row>
    <row r="51" ht="15.75" customHeight="1">
      <c r="A51" s="38">
        <v>46295.0</v>
      </c>
      <c r="B51" s="39" t="s">
        <v>110</v>
      </c>
      <c r="C51" s="54" t="s">
        <v>59</v>
      </c>
      <c r="D51" s="49"/>
      <c r="E51" s="53"/>
      <c r="F51" s="49"/>
      <c r="G51" s="44" t="str">
        <f t="shared" si="1"/>
        <v/>
      </c>
      <c r="H51" s="46">
        <f t="shared" si="2"/>
        <v>0</v>
      </c>
      <c r="I51" s="47"/>
    </row>
    <row r="52" ht="15.75" customHeight="1">
      <c r="A52" s="51">
        <v>46295.0</v>
      </c>
      <c r="B52" s="52" t="s">
        <v>117</v>
      </c>
      <c r="C52" s="54" t="s">
        <v>17</v>
      </c>
      <c r="D52" s="49"/>
      <c r="E52" s="53"/>
      <c r="F52" s="49"/>
      <c r="G52" s="44" t="str">
        <f t="shared" si="1"/>
        <v/>
      </c>
      <c r="H52" s="46">
        <f t="shared" si="2"/>
        <v>0</v>
      </c>
      <c r="I52" s="47"/>
    </row>
    <row r="53" ht="15.75" customHeight="1">
      <c r="A53" s="51">
        <v>46295.0</v>
      </c>
      <c r="B53" s="52" t="s">
        <v>117</v>
      </c>
      <c r="C53" s="54" t="s">
        <v>12</v>
      </c>
      <c r="D53" s="49"/>
      <c r="E53" s="53"/>
      <c r="F53" s="49"/>
      <c r="G53" s="44" t="str">
        <f t="shared" si="1"/>
        <v/>
      </c>
      <c r="H53" s="46">
        <f t="shared" si="2"/>
        <v>0</v>
      </c>
      <c r="I53" s="47"/>
    </row>
    <row r="54" ht="15.75" customHeight="1">
      <c r="A54" s="51">
        <v>46295.0</v>
      </c>
      <c r="B54" s="52" t="s">
        <v>117</v>
      </c>
      <c r="C54" s="54" t="s">
        <v>47</v>
      </c>
      <c r="D54" s="49"/>
      <c r="E54" s="53"/>
      <c r="F54" s="49"/>
      <c r="G54" s="44" t="str">
        <f t="shared" si="1"/>
        <v/>
      </c>
      <c r="H54" s="46">
        <f t="shared" si="2"/>
        <v>0</v>
      </c>
      <c r="I54" s="47"/>
    </row>
    <row r="55" ht="15.75" customHeight="1">
      <c r="A55" s="51">
        <v>46295.0</v>
      </c>
      <c r="B55" s="52" t="s">
        <v>117</v>
      </c>
      <c r="C55" s="54" t="s">
        <v>18</v>
      </c>
      <c r="D55" s="49"/>
      <c r="E55" s="53"/>
      <c r="F55" s="49"/>
      <c r="G55" s="44" t="str">
        <f t="shared" si="1"/>
        <v/>
      </c>
      <c r="H55" s="46">
        <f t="shared" si="2"/>
        <v>0</v>
      </c>
      <c r="I55" s="47"/>
    </row>
    <row r="56" ht="15.75" customHeight="1">
      <c r="A56" s="51">
        <v>46295.0</v>
      </c>
      <c r="B56" s="52" t="s">
        <v>117</v>
      </c>
      <c r="C56" s="54" t="s">
        <v>37</v>
      </c>
      <c r="D56" s="49"/>
      <c r="E56" s="53"/>
      <c r="F56" s="49"/>
      <c r="G56" s="44" t="str">
        <f t="shared" si="1"/>
        <v/>
      </c>
      <c r="H56" s="46">
        <f t="shared" si="2"/>
        <v>0</v>
      </c>
      <c r="I56" s="47"/>
    </row>
    <row r="57" ht="15.75" customHeight="1">
      <c r="A57" s="38">
        <v>46302.0</v>
      </c>
      <c r="B57" s="39" t="s">
        <v>110</v>
      </c>
      <c r="C57" s="54" t="s">
        <v>38</v>
      </c>
      <c r="D57" s="49"/>
      <c r="E57" s="53"/>
      <c r="F57" s="49"/>
      <c r="G57" s="44" t="str">
        <f t="shared" si="1"/>
        <v/>
      </c>
      <c r="H57" s="46">
        <f t="shared" si="2"/>
        <v>0</v>
      </c>
      <c r="I57" s="47"/>
    </row>
    <row r="58" ht="15.75" customHeight="1">
      <c r="A58" s="38">
        <v>46302.0</v>
      </c>
      <c r="B58" s="39" t="s">
        <v>110</v>
      </c>
      <c r="C58" s="54" t="s">
        <v>56</v>
      </c>
      <c r="D58" s="49"/>
      <c r="E58" s="53"/>
      <c r="F58" s="49"/>
      <c r="G58" s="44" t="str">
        <f t="shared" si="1"/>
        <v/>
      </c>
      <c r="H58" s="46">
        <f t="shared" si="2"/>
        <v>0</v>
      </c>
      <c r="I58" s="47"/>
    </row>
    <row r="59" ht="15.75" customHeight="1">
      <c r="A59" s="38">
        <v>46302.0</v>
      </c>
      <c r="B59" s="39" t="s">
        <v>110</v>
      </c>
      <c r="C59" s="54" t="s">
        <v>30</v>
      </c>
      <c r="D59" s="49"/>
      <c r="E59" s="53"/>
      <c r="F59" s="49"/>
      <c r="G59" s="44" t="str">
        <f t="shared" si="1"/>
        <v/>
      </c>
      <c r="H59" s="46">
        <f t="shared" si="2"/>
        <v>0</v>
      </c>
      <c r="I59" s="47"/>
    </row>
    <row r="60" ht="15.75" customHeight="1">
      <c r="A60" s="38">
        <v>46302.0</v>
      </c>
      <c r="B60" s="39" t="s">
        <v>110</v>
      </c>
      <c r="C60" s="54" t="s">
        <v>50</v>
      </c>
      <c r="D60" s="49"/>
      <c r="E60" s="53"/>
      <c r="F60" s="49"/>
      <c r="G60" s="44" t="str">
        <f t="shared" si="1"/>
        <v/>
      </c>
      <c r="H60" s="46">
        <f t="shared" si="2"/>
        <v>0</v>
      </c>
      <c r="I60" s="47"/>
    </row>
    <row r="61" ht="15.75" customHeight="1">
      <c r="A61" s="38">
        <v>46302.0</v>
      </c>
      <c r="B61" s="39" t="s">
        <v>110</v>
      </c>
      <c r="C61" s="54" t="s">
        <v>59</v>
      </c>
      <c r="D61" s="49"/>
      <c r="E61" s="53"/>
      <c r="F61" s="49"/>
      <c r="G61" s="44" t="str">
        <f t="shared" si="1"/>
        <v/>
      </c>
      <c r="H61" s="46">
        <f t="shared" si="2"/>
        <v>0</v>
      </c>
      <c r="I61" s="47"/>
    </row>
    <row r="62" ht="15.75" customHeight="1">
      <c r="A62" s="51">
        <v>46302.0</v>
      </c>
      <c r="B62" s="52" t="s">
        <v>117</v>
      </c>
      <c r="C62" s="54" t="s">
        <v>17</v>
      </c>
      <c r="D62" s="49"/>
      <c r="E62" s="53"/>
      <c r="F62" s="49"/>
      <c r="G62" s="44" t="str">
        <f t="shared" si="1"/>
        <v/>
      </c>
      <c r="H62" s="46">
        <f t="shared" si="2"/>
        <v>0</v>
      </c>
      <c r="I62" s="47"/>
    </row>
    <row r="63" ht="15.75" customHeight="1">
      <c r="A63" s="51">
        <v>46302.0</v>
      </c>
      <c r="B63" s="52" t="s">
        <v>117</v>
      </c>
      <c r="C63" s="54" t="s">
        <v>12</v>
      </c>
      <c r="D63" s="49"/>
      <c r="E63" s="53"/>
      <c r="F63" s="49"/>
      <c r="G63" s="44" t="str">
        <f t="shared" si="1"/>
        <v/>
      </c>
      <c r="H63" s="46">
        <f t="shared" si="2"/>
        <v>0</v>
      </c>
      <c r="I63" s="47"/>
    </row>
    <row r="64" ht="15.75" customHeight="1">
      <c r="A64" s="51">
        <v>46302.0</v>
      </c>
      <c r="B64" s="52" t="s">
        <v>117</v>
      </c>
      <c r="C64" s="54" t="s">
        <v>47</v>
      </c>
      <c r="D64" s="49"/>
      <c r="E64" s="53"/>
      <c r="F64" s="49"/>
      <c r="G64" s="44" t="str">
        <f t="shared" si="1"/>
        <v/>
      </c>
      <c r="H64" s="46">
        <f t="shared" si="2"/>
        <v>0</v>
      </c>
      <c r="I64" s="47"/>
    </row>
    <row r="65" ht="15.75" customHeight="1">
      <c r="A65" s="51">
        <v>46302.0</v>
      </c>
      <c r="B65" s="52" t="s">
        <v>117</v>
      </c>
      <c r="C65" s="54" t="s">
        <v>18</v>
      </c>
      <c r="D65" s="49"/>
      <c r="E65" s="53"/>
      <c r="F65" s="49"/>
      <c r="G65" s="44" t="str">
        <f t="shared" si="1"/>
        <v/>
      </c>
      <c r="H65" s="46">
        <f t="shared" si="2"/>
        <v>0</v>
      </c>
      <c r="I65" s="47"/>
    </row>
    <row r="66" ht="15.75" customHeight="1">
      <c r="A66" s="51">
        <v>46302.0</v>
      </c>
      <c r="B66" s="52" t="s">
        <v>117</v>
      </c>
      <c r="C66" s="54" t="s">
        <v>37</v>
      </c>
      <c r="D66" s="49"/>
      <c r="E66" s="53"/>
      <c r="F66" s="49"/>
      <c r="G66" s="44" t="str">
        <f t="shared" si="1"/>
        <v/>
      </c>
      <c r="H66" s="46">
        <f t="shared" si="2"/>
        <v>0</v>
      </c>
      <c r="I66" s="47"/>
    </row>
    <row r="67" ht="15.75" customHeight="1">
      <c r="A67" s="38">
        <v>46309.0</v>
      </c>
      <c r="B67" s="39" t="s">
        <v>110</v>
      </c>
      <c r="C67" s="54" t="s">
        <v>38</v>
      </c>
      <c r="D67" s="49"/>
      <c r="E67" s="53"/>
      <c r="F67" s="49"/>
      <c r="G67" s="44" t="str">
        <f t="shared" si="1"/>
        <v/>
      </c>
      <c r="H67" s="46">
        <f t="shared" si="2"/>
        <v>0</v>
      </c>
      <c r="I67" s="47"/>
    </row>
    <row r="68" ht="15.75" customHeight="1">
      <c r="A68" s="38">
        <v>46309.0</v>
      </c>
      <c r="B68" s="39" t="s">
        <v>110</v>
      </c>
      <c r="C68" s="54" t="s">
        <v>56</v>
      </c>
      <c r="D68" s="49"/>
      <c r="E68" s="53"/>
      <c r="F68" s="49"/>
      <c r="G68" s="44" t="str">
        <f t="shared" si="1"/>
        <v/>
      </c>
      <c r="H68" s="46">
        <f t="shared" si="2"/>
        <v>0</v>
      </c>
      <c r="I68" s="47"/>
    </row>
    <row r="69" ht="15.75" customHeight="1">
      <c r="A69" s="38">
        <v>46309.0</v>
      </c>
      <c r="B69" s="39" t="s">
        <v>110</v>
      </c>
      <c r="C69" s="54" t="s">
        <v>30</v>
      </c>
      <c r="D69" s="49"/>
      <c r="E69" s="53"/>
      <c r="F69" s="49"/>
      <c r="G69" s="44" t="str">
        <f t="shared" si="1"/>
        <v/>
      </c>
      <c r="H69" s="46">
        <f t="shared" si="2"/>
        <v>0</v>
      </c>
      <c r="I69" s="47"/>
    </row>
    <row r="70" ht="15.75" customHeight="1">
      <c r="A70" s="38">
        <v>46309.0</v>
      </c>
      <c r="B70" s="39" t="s">
        <v>110</v>
      </c>
      <c r="C70" s="54" t="s">
        <v>50</v>
      </c>
      <c r="D70" s="49"/>
      <c r="E70" s="53"/>
      <c r="F70" s="49"/>
      <c r="G70" s="44" t="str">
        <f t="shared" si="1"/>
        <v/>
      </c>
      <c r="H70" s="46">
        <f t="shared" si="2"/>
        <v>0</v>
      </c>
      <c r="I70" s="47"/>
    </row>
    <row r="71" ht="15.75" customHeight="1">
      <c r="A71" s="38">
        <v>46309.0</v>
      </c>
      <c r="B71" s="39" t="s">
        <v>110</v>
      </c>
      <c r="C71" s="54" t="s">
        <v>59</v>
      </c>
      <c r="D71" s="49"/>
      <c r="E71" s="53"/>
      <c r="F71" s="49"/>
      <c r="G71" s="44" t="str">
        <f t="shared" si="1"/>
        <v/>
      </c>
      <c r="H71" s="46">
        <f t="shared" si="2"/>
        <v>0</v>
      </c>
      <c r="I71" s="47"/>
    </row>
    <row r="72" ht="15.75" customHeight="1">
      <c r="A72" s="51">
        <v>46309.0</v>
      </c>
      <c r="B72" s="52" t="s">
        <v>117</v>
      </c>
      <c r="C72" s="54" t="s">
        <v>17</v>
      </c>
      <c r="D72" s="42"/>
      <c r="E72" s="43"/>
      <c r="F72" s="49"/>
      <c r="G72" s="44" t="str">
        <f t="shared" si="1"/>
        <v/>
      </c>
      <c r="H72" s="46">
        <f t="shared" si="2"/>
        <v>0</v>
      </c>
      <c r="I72" s="47"/>
    </row>
    <row r="73" ht="15.75" customHeight="1">
      <c r="A73" s="51">
        <v>46309.0</v>
      </c>
      <c r="B73" s="52" t="s">
        <v>117</v>
      </c>
      <c r="C73" s="54" t="s">
        <v>12</v>
      </c>
      <c r="D73" s="49"/>
      <c r="E73" s="53"/>
      <c r="F73" s="49"/>
      <c r="G73" s="44" t="str">
        <f t="shared" si="1"/>
        <v/>
      </c>
      <c r="H73" s="46">
        <f t="shared" si="2"/>
        <v>0</v>
      </c>
      <c r="I73" s="47"/>
    </row>
    <row r="74" ht="15.75" customHeight="1">
      <c r="A74" s="51">
        <v>46309.0</v>
      </c>
      <c r="B74" s="52" t="s">
        <v>117</v>
      </c>
      <c r="C74" s="54" t="s">
        <v>47</v>
      </c>
      <c r="D74" s="49"/>
      <c r="E74" s="53"/>
      <c r="F74" s="49"/>
      <c r="G74" s="44" t="str">
        <f t="shared" si="1"/>
        <v/>
      </c>
      <c r="H74" s="46">
        <f t="shared" si="2"/>
        <v>0</v>
      </c>
      <c r="I74" s="47"/>
    </row>
    <row r="75" ht="15.75" customHeight="1">
      <c r="A75" s="51">
        <v>46309.0</v>
      </c>
      <c r="B75" s="52" t="s">
        <v>117</v>
      </c>
      <c r="C75" s="54" t="s">
        <v>18</v>
      </c>
      <c r="D75" s="49"/>
      <c r="E75" s="53"/>
      <c r="F75" s="49"/>
      <c r="G75" s="44" t="str">
        <f t="shared" si="1"/>
        <v/>
      </c>
      <c r="H75" s="46">
        <f t="shared" si="2"/>
        <v>0</v>
      </c>
      <c r="I75" s="47"/>
    </row>
    <row r="76" ht="15.75" customHeight="1">
      <c r="A76" s="51">
        <v>46309.0</v>
      </c>
      <c r="B76" s="52" t="s">
        <v>117</v>
      </c>
      <c r="C76" s="54" t="s">
        <v>37</v>
      </c>
      <c r="D76" s="49"/>
      <c r="E76" s="53"/>
      <c r="F76" s="49"/>
      <c r="G76" s="44" t="str">
        <f t="shared" si="1"/>
        <v/>
      </c>
      <c r="H76" s="46">
        <f t="shared" si="2"/>
        <v>0</v>
      </c>
      <c r="I76" s="47"/>
    </row>
    <row r="77" ht="15.75" customHeight="1">
      <c r="A77" s="38">
        <v>46316.0</v>
      </c>
      <c r="B77" s="39" t="s">
        <v>110</v>
      </c>
      <c r="C77" s="54" t="s">
        <v>38</v>
      </c>
      <c r="D77" s="49"/>
      <c r="E77" s="53"/>
      <c r="F77" s="49"/>
      <c r="G77" s="44" t="str">
        <f t="shared" si="1"/>
        <v/>
      </c>
      <c r="H77" s="46">
        <f t="shared" si="2"/>
        <v>0</v>
      </c>
      <c r="I77" s="47"/>
    </row>
    <row r="78" ht="15.75" customHeight="1">
      <c r="A78" s="38">
        <v>46316.0</v>
      </c>
      <c r="B78" s="39" t="s">
        <v>110</v>
      </c>
      <c r="C78" s="54" t="s">
        <v>56</v>
      </c>
      <c r="D78" s="49"/>
      <c r="E78" s="53"/>
      <c r="F78" s="49"/>
      <c r="G78" s="44" t="str">
        <f t="shared" si="1"/>
        <v/>
      </c>
      <c r="H78" s="46">
        <f t="shared" si="2"/>
        <v>0</v>
      </c>
      <c r="I78" s="47"/>
    </row>
    <row r="79" ht="15.75" customHeight="1">
      <c r="A79" s="38">
        <v>46316.0</v>
      </c>
      <c r="B79" s="39" t="s">
        <v>110</v>
      </c>
      <c r="C79" s="54" t="s">
        <v>30</v>
      </c>
      <c r="D79" s="49"/>
      <c r="E79" s="53"/>
      <c r="F79" s="49"/>
      <c r="G79" s="44" t="str">
        <f t="shared" si="1"/>
        <v/>
      </c>
      <c r="H79" s="46">
        <f t="shared" si="2"/>
        <v>0</v>
      </c>
      <c r="I79" s="47"/>
    </row>
    <row r="80" ht="15.75" customHeight="1">
      <c r="A80" s="38">
        <v>46316.0</v>
      </c>
      <c r="B80" s="39" t="s">
        <v>110</v>
      </c>
      <c r="C80" s="54" t="s">
        <v>50</v>
      </c>
      <c r="D80" s="49"/>
      <c r="E80" s="53"/>
      <c r="F80" s="49"/>
      <c r="G80" s="44" t="str">
        <f t="shared" si="1"/>
        <v/>
      </c>
      <c r="H80" s="46">
        <f t="shared" si="2"/>
        <v>0</v>
      </c>
      <c r="I80" s="47"/>
    </row>
    <row r="81" ht="15.75" customHeight="1">
      <c r="A81" s="38">
        <v>46316.0</v>
      </c>
      <c r="B81" s="39" t="s">
        <v>110</v>
      </c>
      <c r="C81" s="54" t="s">
        <v>59</v>
      </c>
      <c r="D81" s="49"/>
      <c r="E81" s="53"/>
      <c r="F81" s="49"/>
      <c r="G81" s="44" t="str">
        <f t="shared" si="1"/>
        <v/>
      </c>
      <c r="H81" s="46">
        <f t="shared" si="2"/>
        <v>0</v>
      </c>
      <c r="I81" s="47"/>
    </row>
    <row r="82" ht="15.75" customHeight="1">
      <c r="A82" s="51">
        <v>46316.0</v>
      </c>
      <c r="B82" s="52" t="s">
        <v>117</v>
      </c>
      <c r="C82" s="54" t="s">
        <v>17</v>
      </c>
      <c r="D82" s="49"/>
      <c r="E82" s="53"/>
      <c r="F82" s="49"/>
      <c r="G82" s="44" t="str">
        <f t="shared" si="1"/>
        <v/>
      </c>
      <c r="H82" s="46">
        <f t="shared" si="2"/>
        <v>0</v>
      </c>
      <c r="I82" s="47"/>
    </row>
    <row r="83" ht="15.75" customHeight="1">
      <c r="A83" s="51">
        <v>46316.0</v>
      </c>
      <c r="B83" s="52" t="s">
        <v>117</v>
      </c>
      <c r="C83" s="54" t="s">
        <v>12</v>
      </c>
      <c r="D83" s="49"/>
      <c r="E83" s="53"/>
      <c r="F83" s="49"/>
      <c r="G83" s="44" t="str">
        <f t="shared" si="1"/>
        <v/>
      </c>
      <c r="H83" s="46">
        <f t="shared" si="2"/>
        <v>0</v>
      </c>
      <c r="I83" s="47"/>
    </row>
    <row r="84" ht="15.75" customHeight="1">
      <c r="A84" s="51">
        <v>46316.0</v>
      </c>
      <c r="B84" s="52" t="s">
        <v>117</v>
      </c>
      <c r="C84" s="54" t="s">
        <v>47</v>
      </c>
      <c r="D84" s="49"/>
      <c r="E84" s="53"/>
      <c r="F84" s="49"/>
      <c r="G84" s="44" t="str">
        <f t="shared" si="1"/>
        <v/>
      </c>
      <c r="H84" s="46">
        <f t="shared" si="2"/>
        <v>0</v>
      </c>
      <c r="I84" s="47"/>
    </row>
    <row r="85" ht="15.75" customHeight="1">
      <c r="A85" s="51">
        <v>46316.0</v>
      </c>
      <c r="B85" s="52" t="s">
        <v>117</v>
      </c>
      <c r="C85" s="54" t="s">
        <v>18</v>
      </c>
      <c r="D85" s="49"/>
      <c r="E85" s="53"/>
      <c r="F85" s="49"/>
      <c r="G85" s="44" t="str">
        <f t="shared" si="1"/>
        <v/>
      </c>
      <c r="H85" s="46">
        <f t="shared" si="2"/>
        <v>0</v>
      </c>
      <c r="I85" s="47"/>
    </row>
    <row r="86" ht="15.75" customHeight="1">
      <c r="A86" s="51">
        <v>46316.0</v>
      </c>
      <c r="B86" s="52" t="s">
        <v>117</v>
      </c>
      <c r="C86" s="54" t="s">
        <v>37</v>
      </c>
      <c r="D86" s="49"/>
      <c r="E86" s="53"/>
      <c r="F86" s="49"/>
      <c r="G86" s="44" t="str">
        <f t="shared" si="1"/>
        <v/>
      </c>
      <c r="H86" s="46">
        <f t="shared" si="2"/>
        <v>0</v>
      </c>
      <c r="I86" s="47"/>
    </row>
    <row r="87" ht="15.75" customHeight="1">
      <c r="A87" s="38">
        <v>46323.0</v>
      </c>
      <c r="B87" s="39" t="s">
        <v>110</v>
      </c>
      <c r="C87" s="54" t="s">
        <v>38</v>
      </c>
      <c r="D87" s="49"/>
      <c r="E87" s="53"/>
      <c r="F87" s="49"/>
      <c r="G87" s="44" t="str">
        <f t="shared" si="1"/>
        <v/>
      </c>
      <c r="H87" s="46">
        <f t="shared" si="2"/>
        <v>0</v>
      </c>
      <c r="I87" s="47"/>
    </row>
    <row r="88" ht="15.75" customHeight="1">
      <c r="A88" s="38">
        <v>46323.0</v>
      </c>
      <c r="B88" s="39" t="s">
        <v>110</v>
      </c>
      <c r="C88" s="54" t="s">
        <v>56</v>
      </c>
      <c r="D88" s="49"/>
      <c r="E88" s="53"/>
      <c r="F88" s="49"/>
      <c r="G88" s="44" t="str">
        <f t="shared" si="1"/>
        <v/>
      </c>
      <c r="H88" s="46">
        <f t="shared" si="2"/>
        <v>0</v>
      </c>
      <c r="I88" s="47"/>
    </row>
    <row r="89" ht="15.75" customHeight="1">
      <c r="A89" s="38">
        <v>46323.0</v>
      </c>
      <c r="B89" s="39" t="s">
        <v>110</v>
      </c>
      <c r="C89" s="54" t="s">
        <v>30</v>
      </c>
      <c r="D89" s="49"/>
      <c r="E89" s="53"/>
      <c r="F89" s="49"/>
      <c r="G89" s="44" t="str">
        <f t="shared" si="1"/>
        <v/>
      </c>
      <c r="H89" s="46">
        <f t="shared" si="2"/>
        <v>0</v>
      </c>
      <c r="I89" s="47"/>
    </row>
    <row r="90" ht="15.75" customHeight="1">
      <c r="A90" s="38">
        <v>46323.0</v>
      </c>
      <c r="B90" s="39" t="s">
        <v>110</v>
      </c>
      <c r="C90" s="54" t="s">
        <v>50</v>
      </c>
      <c r="D90" s="49"/>
      <c r="E90" s="53"/>
      <c r="F90" s="49"/>
      <c r="G90" s="44" t="str">
        <f t="shared" si="1"/>
        <v/>
      </c>
      <c r="H90" s="46">
        <f t="shared" si="2"/>
        <v>0</v>
      </c>
      <c r="I90" s="47"/>
    </row>
    <row r="91" ht="15.75" customHeight="1">
      <c r="A91" s="38">
        <v>46323.0</v>
      </c>
      <c r="B91" s="39" t="s">
        <v>110</v>
      </c>
      <c r="C91" s="54" t="s">
        <v>59</v>
      </c>
      <c r="D91" s="49"/>
      <c r="E91" s="53"/>
      <c r="F91" s="49"/>
      <c r="G91" s="44" t="str">
        <f t="shared" si="1"/>
        <v/>
      </c>
      <c r="H91" s="46">
        <f t="shared" si="2"/>
        <v>0</v>
      </c>
      <c r="I91" s="47"/>
    </row>
    <row r="92" ht="15.75" customHeight="1">
      <c r="A92" s="51">
        <v>46323.0</v>
      </c>
      <c r="B92" s="52" t="s">
        <v>117</v>
      </c>
      <c r="C92" s="54" t="s">
        <v>17</v>
      </c>
      <c r="D92" s="49"/>
      <c r="E92" s="53"/>
      <c r="F92" s="49"/>
      <c r="G92" s="44" t="str">
        <f t="shared" si="1"/>
        <v/>
      </c>
      <c r="H92" s="46">
        <f t="shared" si="2"/>
        <v>0</v>
      </c>
      <c r="I92" s="47"/>
    </row>
    <row r="93" ht="15.75" customHeight="1">
      <c r="A93" s="51">
        <v>46323.0</v>
      </c>
      <c r="B93" s="52" t="s">
        <v>117</v>
      </c>
      <c r="C93" s="54" t="s">
        <v>12</v>
      </c>
      <c r="D93" s="49"/>
      <c r="E93" s="53"/>
      <c r="F93" s="49"/>
      <c r="G93" s="44" t="str">
        <f t="shared" si="1"/>
        <v/>
      </c>
      <c r="H93" s="46">
        <f t="shared" si="2"/>
        <v>0</v>
      </c>
      <c r="I93" s="47"/>
    </row>
    <row r="94" ht="15.75" customHeight="1">
      <c r="A94" s="51">
        <v>46323.0</v>
      </c>
      <c r="B94" s="52" t="s">
        <v>117</v>
      </c>
      <c r="C94" s="54" t="s">
        <v>47</v>
      </c>
      <c r="D94" s="49"/>
      <c r="E94" s="53"/>
      <c r="F94" s="49"/>
      <c r="G94" s="44" t="str">
        <f t="shared" si="1"/>
        <v/>
      </c>
      <c r="H94" s="46">
        <f t="shared" si="2"/>
        <v>0</v>
      </c>
      <c r="I94" s="47"/>
    </row>
    <row r="95" ht="15.75" customHeight="1">
      <c r="A95" s="51">
        <v>46323.0</v>
      </c>
      <c r="B95" s="52" t="s">
        <v>117</v>
      </c>
      <c r="C95" s="54" t="s">
        <v>18</v>
      </c>
      <c r="D95" s="49"/>
      <c r="E95" s="53"/>
      <c r="F95" s="49"/>
      <c r="G95" s="44" t="str">
        <f t="shared" si="1"/>
        <v/>
      </c>
      <c r="H95" s="46">
        <f t="shared" si="2"/>
        <v>0</v>
      </c>
      <c r="I95" s="47"/>
    </row>
    <row r="96" ht="15.75" customHeight="1">
      <c r="A96" s="51">
        <v>46323.0</v>
      </c>
      <c r="B96" s="52" t="s">
        <v>117</v>
      </c>
      <c r="C96" s="54" t="s">
        <v>37</v>
      </c>
      <c r="D96" s="49"/>
      <c r="E96" s="53"/>
      <c r="F96" s="49"/>
      <c r="G96" s="44" t="str">
        <f t="shared" si="1"/>
        <v/>
      </c>
      <c r="H96" s="46">
        <f t="shared" si="2"/>
        <v>0</v>
      </c>
      <c r="I96" s="47"/>
    </row>
    <row r="97" ht="15.75" customHeight="1">
      <c r="A97" s="38">
        <v>46330.0</v>
      </c>
      <c r="B97" s="39" t="s">
        <v>110</v>
      </c>
      <c r="C97" s="54" t="s">
        <v>38</v>
      </c>
      <c r="D97" s="49"/>
      <c r="E97" s="53"/>
      <c r="F97" s="49"/>
      <c r="G97" s="44" t="str">
        <f t="shared" si="1"/>
        <v/>
      </c>
      <c r="H97" s="46">
        <f t="shared" si="2"/>
        <v>0</v>
      </c>
      <c r="I97" s="47"/>
    </row>
    <row r="98" ht="15.75" customHeight="1">
      <c r="A98" s="38">
        <v>46330.0</v>
      </c>
      <c r="B98" s="39" t="s">
        <v>110</v>
      </c>
      <c r="C98" s="54" t="s">
        <v>56</v>
      </c>
      <c r="D98" s="49"/>
      <c r="E98" s="53"/>
      <c r="F98" s="49"/>
      <c r="G98" s="44" t="str">
        <f t="shared" si="1"/>
        <v/>
      </c>
      <c r="H98" s="46">
        <f t="shared" si="2"/>
        <v>0</v>
      </c>
      <c r="I98" s="47"/>
    </row>
    <row r="99" ht="15.75" customHeight="1">
      <c r="A99" s="38">
        <v>46330.0</v>
      </c>
      <c r="B99" s="39" t="s">
        <v>110</v>
      </c>
      <c r="C99" s="54" t="s">
        <v>30</v>
      </c>
      <c r="D99" s="49"/>
      <c r="E99" s="53"/>
      <c r="F99" s="49"/>
      <c r="G99" s="44" t="str">
        <f t="shared" si="1"/>
        <v/>
      </c>
      <c r="H99" s="46">
        <f t="shared" si="2"/>
        <v>0</v>
      </c>
      <c r="I99" s="47"/>
    </row>
    <row r="100" ht="15.75" customHeight="1">
      <c r="A100" s="38">
        <v>46330.0</v>
      </c>
      <c r="B100" s="39" t="s">
        <v>110</v>
      </c>
      <c r="C100" s="54" t="s">
        <v>50</v>
      </c>
      <c r="D100" s="49"/>
      <c r="E100" s="53"/>
      <c r="F100" s="49"/>
      <c r="G100" s="44" t="str">
        <f t="shared" si="1"/>
        <v/>
      </c>
      <c r="H100" s="46">
        <f t="shared" si="2"/>
        <v>0</v>
      </c>
      <c r="I100" s="47"/>
    </row>
    <row r="101" ht="15.75" customHeight="1">
      <c r="A101" s="38">
        <v>46330.0</v>
      </c>
      <c r="B101" s="39" t="s">
        <v>110</v>
      </c>
      <c r="C101" s="54" t="s">
        <v>59</v>
      </c>
      <c r="D101" s="49"/>
      <c r="E101" s="53"/>
      <c r="F101" s="49"/>
      <c r="G101" s="44" t="str">
        <f t="shared" si="1"/>
        <v/>
      </c>
      <c r="H101" s="46">
        <f t="shared" si="2"/>
        <v>0</v>
      </c>
      <c r="I101" s="47"/>
    </row>
    <row r="102" ht="15.75" customHeight="1">
      <c r="A102" s="51">
        <v>46330.0</v>
      </c>
      <c r="B102" s="52" t="s">
        <v>117</v>
      </c>
      <c r="C102" s="54" t="s">
        <v>17</v>
      </c>
      <c r="D102" s="49"/>
      <c r="E102" s="53"/>
      <c r="F102" s="49"/>
      <c r="G102" s="44" t="str">
        <f t="shared" si="1"/>
        <v/>
      </c>
      <c r="H102" s="46">
        <f t="shared" si="2"/>
        <v>0</v>
      </c>
      <c r="I102" s="47"/>
    </row>
    <row r="103" ht="15.75" customHeight="1">
      <c r="A103" s="51">
        <v>46330.0</v>
      </c>
      <c r="B103" s="52" t="s">
        <v>117</v>
      </c>
      <c r="C103" s="54" t="s">
        <v>12</v>
      </c>
      <c r="D103" s="49"/>
      <c r="E103" s="53"/>
      <c r="F103" s="49"/>
      <c r="G103" s="44" t="str">
        <f t="shared" si="1"/>
        <v/>
      </c>
      <c r="H103" s="46">
        <f t="shared" si="2"/>
        <v>0</v>
      </c>
      <c r="I103" s="47"/>
    </row>
    <row r="104" ht="15.75" customHeight="1">
      <c r="A104" s="51">
        <v>46330.0</v>
      </c>
      <c r="B104" s="52" t="s">
        <v>117</v>
      </c>
      <c r="C104" s="54" t="s">
        <v>47</v>
      </c>
      <c r="D104" s="49"/>
      <c r="E104" s="53"/>
      <c r="F104" s="49"/>
      <c r="G104" s="44" t="str">
        <f t="shared" si="1"/>
        <v/>
      </c>
      <c r="H104" s="46">
        <f t="shared" si="2"/>
        <v>0</v>
      </c>
      <c r="I104" s="47"/>
    </row>
    <row r="105" ht="15.75" customHeight="1">
      <c r="A105" s="51">
        <v>46330.0</v>
      </c>
      <c r="B105" s="52" t="s">
        <v>117</v>
      </c>
      <c r="C105" s="54" t="s">
        <v>18</v>
      </c>
      <c r="D105" s="49"/>
      <c r="E105" s="53"/>
      <c r="F105" s="49"/>
      <c r="G105" s="44" t="str">
        <f t="shared" si="1"/>
        <v/>
      </c>
      <c r="H105" s="46">
        <f t="shared" si="2"/>
        <v>0</v>
      </c>
      <c r="I105" s="47"/>
    </row>
    <row r="106" ht="15.75" customHeight="1">
      <c r="A106" s="51">
        <v>46330.0</v>
      </c>
      <c r="B106" s="52" t="s">
        <v>117</v>
      </c>
      <c r="C106" s="54" t="s">
        <v>37</v>
      </c>
      <c r="D106" s="49"/>
      <c r="E106" s="53"/>
      <c r="F106" s="49"/>
      <c r="G106" s="44" t="str">
        <f t="shared" si="1"/>
        <v/>
      </c>
      <c r="H106" s="46">
        <f t="shared" si="2"/>
        <v>0</v>
      </c>
      <c r="I106" s="47"/>
    </row>
    <row r="107" ht="15.75" customHeight="1">
      <c r="A107" s="38">
        <v>46337.0</v>
      </c>
      <c r="B107" s="39" t="s">
        <v>110</v>
      </c>
      <c r="C107" s="54" t="s">
        <v>38</v>
      </c>
      <c r="D107" s="49"/>
      <c r="E107" s="53"/>
      <c r="F107" s="49"/>
      <c r="G107" s="44" t="str">
        <f t="shared" si="1"/>
        <v/>
      </c>
      <c r="H107" s="46">
        <f t="shared" si="2"/>
        <v>0</v>
      </c>
      <c r="I107" s="47"/>
    </row>
    <row r="108" ht="15.75" customHeight="1">
      <c r="A108" s="38">
        <v>46337.0</v>
      </c>
      <c r="B108" s="39" t="s">
        <v>110</v>
      </c>
      <c r="C108" s="54" t="s">
        <v>56</v>
      </c>
      <c r="D108" s="49"/>
      <c r="E108" s="53"/>
      <c r="F108" s="49"/>
      <c r="G108" s="44" t="str">
        <f t="shared" si="1"/>
        <v/>
      </c>
      <c r="H108" s="46">
        <f t="shared" si="2"/>
        <v>0</v>
      </c>
      <c r="I108" s="47"/>
    </row>
    <row r="109" ht="15.75" customHeight="1">
      <c r="A109" s="38">
        <v>46337.0</v>
      </c>
      <c r="B109" s="39" t="s">
        <v>110</v>
      </c>
      <c r="C109" s="54" t="s">
        <v>30</v>
      </c>
      <c r="D109" s="49"/>
      <c r="E109" s="53"/>
      <c r="F109" s="49"/>
      <c r="G109" s="44" t="str">
        <f t="shared" si="1"/>
        <v/>
      </c>
      <c r="H109" s="46">
        <f t="shared" si="2"/>
        <v>0</v>
      </c>
      <c r="I109" s="47"/>
    </row>
    <row r="110" ht="15.75" customHeight="1">
      <c r="A110" s="38">
        <v>46337.0</v>
      </c>
      <c r="B110" s="39" t="s">
        <v>110</v>
      </c>
      <c r="C110" s="54" t="s">
        <v>50</v>
      </c>
      <c r="D110" s="49"/>
      <c r="E110" s="53"/>
      <c r="F110" s="49"/>
      <c r="G110" s="44" t="str">
        <f t="shared" si="1"/>
        <v/>
      </c>
      <c r="H110" s="46">
        <f t="shared" si="2"/>
        <v>0</v>
      </c>
      <c r="I110" s="47"/>
    </row>
    <row r="111" ht="15.75" customHeight="1">
      <c r="A111" s="38">
        <v>46337.0</v>
      </c>
      <c r="B111" s="39" t="s">
        <v>110</v>
      </c>
      <c r="C111" s="54" t="s">
        <v>59</v>
      </c>
      <c r="D111" s="49"/>
      <c r="E111" s="53"/>
      <c r="F111" s="49"/>
      <c r="G111" s="44" t="str">
        <f t="shared" si="1"/>
        <v/>
      </c>
      <c r="H111" s="46">
        <f t="shared" si="2"/>
        <v>0</v>
      </c>
      <c r="I111" s="47"/>
    </row>
    <row r="112" ht="15.75" customHeight="1">
      <c r="A112" s="51">
        <v>46337.0</v>
      </c>
      <c r="B112" s="52" t="s">
        <v>117</v>
      </c>
      <c r="C112" s="54" t="s">
        <v>17</v>
      </c>
      <c r="D112" s="49"/>
      <c r="E112" s="53"/>
      <c r="F112" s="49"/>
      <c r="G112" s="44" t="str">
        <f t="shared" si="1"/>
        <v/>
      </c>
      <c r="H112" s="46">
        <f t="shared" si="2"/>
        <v>0</v>
      </c>
      <c r="I112" s="47"/>
    </row>
    <row r="113" ht="15.75" customHeight="1">
      <c r="A113" s="51">
        <v>46337.0</v>
      </c>
      <c r="B113" s="52" t="s">
        <v>117</v>
      </c>
      <c r="C113" s="54" t="s">
        <v>12</v>
      </c>
      <c r="D113" s="49"/>
      <c r="E113" s="53"/>
      <c r="F113" s="49"/>
      <c r="G113" s="44" t="str">
        <f t="shared" si="1"/>
        <v/>
      </c>
      <c r="H113" s="46">
        <f t="shared" si="2"/>
        <v>0</v>
      </c>
      <c r="I113" s="47"/>
    </row>
    <row r="114" ht="15.75" customHeight="1">
      <c r="A114" s="51">
        <v>46337.0</v>
      </c>
      <c r="B114" s="52" t="s">
        <v>117</v>
      </c>
      <c r="C114" s="54" t="s">
        <v>47</v>
      </c>
      <c r="D114" s="49"/>
      <c r="E114" s="53"/>
      <c r="F114" s="49"/>
      <c r="G114" s="44" t="str">
        <f t="shared" si="1"/>
        <v/>
      </c>
      <c r="H114" s="46">
        <f t="shared" si="2"/>
        <v>0</v>
      </c>
      <c r="I114" s="47"/>
    </row>
    <row r="115" ht="15.75" customHeight="1">
      <c r="A115" s="51">
        <v>46337.0</v>
      </c>
      <c r="B115" s="52" t="s">
        <v>117</v>
      </c>
      <c r="C115" s="54" t="s">
        <v>18</v>
      </c>
      <c r="D115" s="49"/>
      <c r="E115" s="53"/>
      <c r="F115" s="49"/>
      <c r="G115" s="44" t="str">
        <f t="shared" si="1"/>
        <v/>
      </c>
      <c r="H115" s="46">
        <f t="shared" si="2"/>
        <v>0</v>
      </c>
      <c r="I115" s="47"/>
    </row>
    <row r="116" ht="15.75" customHeight="1">
      <c r="A116" s="51">
        <v>46337.0</v>
      </c>
      <c r="B116" s="52" t="s">
        <v>117</v>
      </c>
      <c r="C116" s="54" t="s">
        <v>37</v>
      </c>
      <c r="D116" s="49"/>
      <c r="E116" s="53"/>
      <c r="F116" s="49"/>
      <c r="G116" s="44" t="str">
        <f t="shared" si="1"/>
        <v/>
      </c>
      <c r="H116" s="46">
        <f t="shared" si="2"/>
        <v>0</v>
      </c>
      <c r="I116" s="47"/>
    </row>
    <row r="117" ht="15.75" customHeight="1">
      <c r="A117" s="38">
        <v>46344.0</v>
      </c>
      <c r="B117" s="39" t="s">
        <v>110</v>
      </c>
      <c r="C117" s="54" t="s">
        <v>38</v>
      </c>
      <c r="D117" s="49"/>
      <c r="E117" s="53"/>
      <c r="F117" s="49"/>
      <c r="G117" s="44" t="str">
        <f t="shared" si="1"/>
        <v/>
      </c>
      <c r="H117" s="46">
        <f t="shared" si="2"/>
        <v>0</v>
      </c>
      <c r="I117" s="47"/>
    </row>
    <row r="118" ht="15.75" customHeight="1">
      <c r="A118" s="38">
        <v>46344.0</v>
      </c>
      <c r="B118" s="39" t="s">
        <v>110</v>
      </c>
      <c r="C118" s="54" t="s">
        <v>56</v>
      </c>
      <c r="D118" s="49"/>
      <c r="E118" s="53"/>
      <c r="F118" s="49"/>
      <c r="G118" s="44" t="str">
        <f t="shared" si="1"/>
        <v/>
      </c>
      <c r="H118" s="46">
        <f t="shared" si="2"/>
        <v>0</v>
      </c>
      <c r="I118" s="47"/>
    </row>
    <row r="119" ht="15.75" customHeight="1">
      <c r="A119" s="38">
        <v>46344.0</v>
      </c>
      <c r="B119" s="39" t="s">
        <v>110</v>
      </c>
      <c r="C119" s="54" t="s">
        <v>30</v>
      </c>
      <c r="D119" s="49"/>
      <c r="E119" s="53"/>
      <c r="F119" s="49"/>
      <c r="G119" s="44" t="str">
        <f t="shared" si="1"/>
        <v/>
      </c>
      <c r="H119" s="46">
        <f t="shared" si="2"/>
        <v>0</v>
      </c>
      <c r="I119" s="47"/>
    </row>
    <row r="120" ht="15.75" customHeight="1">
      <c r="A120" s="38">
        <v>46344.0</v>
      </c>
      <c r="B120" s="39" t="s">
        <v>110</v>
      </c>
      <c r="C120" s="54" t="s">
        <v>50</v>
      </c>
      <c r="D120" s="49"/>
      <c r="E120" s="53"/>
      <c r="F120" s="49"/>
      <c r="G120" s="44" t="str">
        <f t="shared" si="1"/>
        <v/>
      </c>
      <c r="H120" s="46">
        <f t="shared" si="2"/>
        <v>0</v>
      </c>
      <c r="I120" s="47"/>
    </row>
    <row r="121" ht="15.75" customHeight="1">
      <c r="A121" s="38">
        <v>46344.0</v>
      </c>
      <c r="B121" s="39" t="s">
        <v>110</v>
      </c>
      <c r="C121" s="54" t="s">
        <v>59</v>
      </c>
      <c r="D121" s="49"/>
      <c r="E121" s="53"/>
      <c r="F121" s="49"/>
      <c r="G121" s="44" t="str">
        <f t="shared" si="1"/>
        <v/>
      </c>
      <c r="H121" s="46">
        <f t="shared" si="2"/>
        <v>0</v>
      </c>
      <c r="I121" s="47"/>
    </row>
    <row r="122" ht="15.75" customHeight="1">
      <c r="A122" s="51">
        <v>46344.0</v>
      </c>
      <c r="B122" s="52" t="s">
        <v>117</v>
      </c>
      <c r="C122" s="54" t="s">
        <v>17</v>
      </c>
      <c r="D122" s="49"/>
      <c r="E122" s="53"/>
      <c r="F122" s="49"/>
      <c r="G122" s="44" t="str">
        <f t="shared" si="1"/>
        <v/>
      </c>
      <c r="H122" s="46">
        <f t="shared" si="2"/>
        <v>0</v>
      </c>
      <c r="I122" s="47"/>
    </row>
    <row r="123" ht="15.75" customHeight="1">
      <c r="A123" s="51">
        <v>46344.0</v>
      </c>
      <c r="B123" s="52" t="s">
        <v>117</v>
      </c>
      <c r="C123" s="54" t="s">
        <v>12</v>
      </c>
      <c r="D123" s="49"/>
      <c r="E123" s="53"/>
      <c r="F123" s="49"/>
      <c r="G123" s="44" t="str">
        <f t="shared" si="1"/>
        <v/>
      </c>
      <c r="H123" s="46">
        <f t="shared" si="2"/>
        <v>0</v>
      </c>
      <c r="I123" s="47"/>
    </row>
    <row r="124" ht="15.75" customHeight="1">
      <c r="A124" s="51">
        <v>46344.0</v>
      </c>
      <c r="B124" s="52" t="s">
        <v>117</v>
      </c>
      <c r="C124" s="54" t="s">
        <v>47</v>
      </c>
      <c r="D124" s="49"/>
      <c r="E124" s="53"/>
      <c r="F124" s="49"/>
      <c r="G124" s="44" t="str">
        <f t="shared" si="1"/>
        <v/>
      </c>
      <c r="H124" s="46">
        <f t="shared" si="2"/>
        <v>0</v>
      </c>
      <c r="I124" s="47"/>
    </row>
    <row r="125" ht="15.75" customHeight="1">
      <c r="A125" s="51">
        <v>46344.0</v>
      </c>
      <c r="B125" s="52" t="s">
        <v>117</v>
      </c>
      <c r="C125" s="54" t="s">
        <v>18</v>
      </c>
      <c r="D125" s="49"/>
      <c r="E125" s="53"/>
      <c r="F125" s="49"/>
      <c r="G125" s="44" t="str">
        <f t="shared" si="1"/>
        <v/>
      </c>
      <c r="H125" s="46">
        <f t="shared" si="2"/>
        <v>0</v>
      </c>
      <c r="I125" s="47"/>
    </row>
    <row r="126" ht="15.75" customHeight="1">
      <c r="A126" s="51">
        <v>46344.0</v>
      </c>
      <c r="B126" s="52" t="s">
        <v>117</v>
      </c>
      <c r="C126" s="54" t="s">
        <v>37</v>
      </c>
      <c r="D126" s="49"/>
      <c r="E126" s="53"/>
      <c r="F126" s="49"/>
      <c r="G126" s="44" t="str">
        <f t="shared" si="1"/>
        <v/>
      </c>
      <c r="H126" s="46">
        <f t="shared" si="2"/>
        <v>0</v>
      </c>
      <c r="I126" s="47"/>
    </row>
    <row r="127" ht="15.75" customHeight="1">
      <c r="A127" s="38">
        <v>46351.0</v>
      </c>
      <c r="B127" s="39" t="s">
        <v>110</v>
      </c>
      <c r="C127" s="54" t="s">
        <v>38</v>
      </c>
      <c r="D127" s="49"/>
      <c r="E127" s="53"/>
      <c r="F127" s="49"/>
      <c r="G127" s="44" t="str">
        <f t="shared" si="1"/>
        <v/>
      </c>
      <c r="H127" s="46">
        <f t="shared" si="2"/>
        <v>0</v>
      </c>
      <c r="I127" s="47"/>
    </row>
    <row r="128" ht="15.75" customHeight="1">
      <c r="A128" s="38">
        <v>46351.0</v>
      </c>
      <c r="B128" s="39" t="s">
        <v>110</v>
      </c>
      <c r="C128" s="54" t="s">
        <v>56</v>
      </c>
      <c r="D128" s="49"/>
      <c r="E128" s="53"/>
      <c r="F128" s="49"/>
      <c r="G128" s="44" t="str">
        <f t="shared" si="1"/>
        <v/>
      </c>
      <c r="H128" s="46">
        <f t="shared" si="2"/>
        <v>0</v>
      </c>
      <c r="I128" s="47"/>
    </row>
    <row r="129" ht="15.75" customHeight="1">
      <c r="A129" s="38">
        <v>46351.0</v>
      </c>
      <c r="B129" s="39" t="s">
        <v>110</v>
      </c>
      <c r="C129" s="54" t="s">
        <v>30</v>
      </c>
      <c r="D129" s="49"/>
      <c r="E129" s="53"/>
      <c r="F129" s="49"/>
      <c r="G129" s="44" t="str">
        <f t="shared" si="1"/>
        <v/>
      </c>
      <c r="H129" s="46">
        <f t="shared" si="2"/>
        <v>0</v>
      </c>
      <c r="I129" s="47"/>
    </row>
    <row r="130" ht="15.75" customHeight="1">
      <c r="A130" s="38">
        <v>46351.0</v>
      </c>
      <c r="B130" s="39" t="s">
        <v>110</v>
      </c>
      <c r="C130" s="54" t="s">
        <v>50</v>
      </c>
      <c r="D130" s="49"/>
      <c r="E130" s="53"/>
      <c r="F130" s="49"/>
      <c r="G130" s="44" t="str">
        <f t="shared" si="1"/>
        <v/>
      </c>
      <c r="H130" s="46">
        <f t="shared" si="2"/>
        <v>0</v>
      </c>
      <c r="I130" s="47"/>
    </row>
    <row r="131" ht="15.75" customHeight="1">
      <c r="A131" s="38">
        <v>46351.0</v>
      </c>
      <c r="B131" s="39" t="s">
        <v>110</v>
      </c>
      <c r="C131" s="54" t="s">
        <v>59</v>
      </c>
      <c r="D131" s="49"/>
      <c r="E131" s="53"/>
      <c r="F131" s="49"/>
      <c r="G131" s="44" t="str">
        <f t="shared" si="1"/>
        <v/>
      </c>
      <c r="H131" s="46">
        <f t="shared" si="2"/>
        <v>0</v>
      </c>
      <c r="I131" s="47"/>
    </row>
    <row r="132" ht="15.75" customHeight="1">
      <c r="A132" s="51">
        <v>46351.0</v>
      </c>
      <c r="B132" s="52" t="s">
        <v>117</v>
      </c>
      <c r="C132" s="54" t="s">
        <v>17</v>
      </c>
      <c r="D132" s="49"/>
      <c r="E132" s="53"/>
      <c r="F132" s="49"/>
      <c r="G132" s="44" t="str">
        <f t="shared" si="1"/>
        <v/>
      </c>
      <c r="H132" s="46">
        <f t="shared" si="2"/>
        <v>0</v>
      </c>
      <c r="I132" s="47"/>
    </row>
    <row r="133" ht="15.75" customHeight="1">
      <c r="A133" s="51">
        <v>46351.0</v>
      </c>
      <c r="B133" s="52" t="s">
        <v>117</v>
      </c>
      <c r="C133" s="54" t="s">
        <v>12</v>
      </c>
      <c r="D133" s="49"/>
      <c r="E133" s="53"/>
      <c r="F133" s="49"/>
      <c r="G133" s="44" t="str">
        <f t="shared" si="1"/>
        <v/>
      </c>
      <c r="H133" s="46">
        <f t="shared" si="2"/>
        <v>0</v>
      </c>
      <c r="I133" s="47"/>
    </row>
    <row r="134" ht="15.75" customHeight="1">
      <c r="A134" s="51">
        <v>46351.0</v>
      </c>
      <c r="B134" s="52" t="s">
        <v>117</v>
      </c>
      <c r="C134" s="54" t="s">
        <v>47</v>
      </c>
      <c r="D134" s="49"/>
      <c r="E134" s="53"/>
      <c r="F134" s="49"/>
      <c r="G134" s="44" t="str">
        <f t="shared" si="1"/>
        <v/>
      </c>
      <c r="H134" s="46">
        <f t="shared" si="2"/>
        <v>0</v>
      </c>
      <c r="I134" s="47"/>
    </row>
    <row r="135" ht="15.75" customHeight="1">
      <c r="A135" s="51">
        <v>46351.0</v>
      </c>
      <c r="B135" s="52" t="s">
        <v>117</v>
      </c>
      <c r="C135" s="54" t="s">
        <v>18</v>
      </c>
      <c r="D135" s="49"/>
      <c r="E135" s="53"/>
      <c r="F135" s="49"/>
      <c r="G135" s="44" t="str">
        <f t="shared" si="1"/>
        <v/>
      </c>
      <c r="H135" s="46">
        <f t="shared" si="2"/>
        <v>0</v>
      </c>
      <c r="I135" s="47"/>
    </row>
    <row r="136" ht="15.75" customHeight="1">
      <c r="A136" s="51">
        <v>46351.0</v>
      </c>
      <c r="B136" s="52" t="s">
        <v>117</v>
      </c>
      <c r="C136" s="54" t="s">
        <v>37</v>
      </c>
      <c r="D136" s="49"/>
      <c r="E136" s="53"/>
      <c r="F136" s="49"/>
      <c r="G136" s="44" t="str">
        <f t="shared" si="1"/>
        <v/>
      </c>
      <c r="H136" s="46">
        <f t="shared" si="2"/>
        <v>0</v>
      </c>
      <c r="I136" s="47"/>
    </row>
    <row r="137" ht="15.75" customHeight="1">
      <c r="A137" s="38">
        <v>46358.0</v>
      </c>
      <c r="B137" s="39" t="s">
        <v>110</v>
      </c>
      <c r="C137" s="54" t="s">
        <v>38</v>
      </c>
      <c r="D137" s="49"/>
      <c r="E137" s="53"/>
      <c r="F137" s="49"/>
      <c r="G137" s="44" t="str">
        <f t="shared" si="1"/>
        <v/>
      </c>
      <c r="H137" s="46">
        <f t="shared" si="2"/>
        <v>0</v>
      </c>
      <c r="I137" s="47"/>
    </row>
    <row r="138" ht="15.75" customHeight="1">
      <c r="A138" s="38">
        <v>46358.0</v>
      </c>
      <c r="B138" s="39" t="s">
        <v>110</v>
      </c>
      <c r="C138" s="54" t="s">
        <v>56</v>
      </c>
      <c r="D138" s="49"/>
      <c r="E138" s="53"/>
      <c r="F138" s="49"/>
      <c r="G138" s="44" t="str">
        <f t="shared" si="1"/>
        <v/>
      </c>
      <c r="H138" s="46">
        <f t="shared" si="2"/>
        <v>0</v>
      </c>
      <c r="I138" s="47"/>
    </row>
    <row r="139" ht="15.75" customHeight="1">
      <c r="A139" s="38">
        <v>46358.0</v>
      </c>
      <c r="B139" s="39" t="s">
        <v>110</v>
      </c>
      <c r="C139" s="54" t="s">
        <v>30</v>
      </c>
      <c r="D139" s="49"/>
      <c r="E139" s="53"/>
      <c r="F139" s="49"/>
      <c r="G139" s="44" t="str">
        <f t="shared" si="1"/>
        <v/>
      </c>
      <c r="H139" s="46">
        <f t="shared" si="2"/>
        <v>0</v>
      </c>
      <c r="I139" s="47"/>
    </row>
    <row r="140" ht="15.75" customHeight="1">
      <c r="A140" s="38">
        <v>46358.0</v>
      </c>
      <c r="B140" s="39" t="s">
        <v>110</v>
      </c>
      <c r="C140" s="54" t="s">
        <v>50</v>
      </c>
      <c r="D140" s="49"/>
      <c r="E140" s="53"/>
      <c r="F140" s="49"/>
      <c r="G140" s="44" t="str">
        <f t="shared" si="1"/>
        <v/>
      </c>
      <c r="H140" s="46">
        <f t="shared" si="2"/>
        <v>0</v>
      </c>
      <c r="I140" s="47"/>
    </row>
    <row r="141" ht="15.75" customHeight="1">
      <c r="A141" s="38">
        <v>46358.0</v>
      </c>
      <c r="B141" s="39" t="s">
        <v>110</v>
      </c>
      <c r="C141" s="54" t="s">
        <v>59</v>
      </c>
      <c r="D141" s="49"/>
      <c r="E141" s="53"/>
      <c r="F141" s="49"/>
      <c r="G141" s="44" t="str">
        <f t="shared" si="1"/>
        <v/>
      </c>
      <c r="H141" s="46">
        <f t="shared" si="2"/>
        <v>0</v>
      </c>
      <c r="I141" s="47"/>
    </row>
    <row r="142" ht="15.75" customHeight="1">
      <c r="A142" s="51">
        <v>46358.0</v>
      </c>
      <c r="B142" s="52" t="s">
        <v>117</v>
      </c>
      <c r="C142" s="54" t="s">
        <v>17</v>
      </c>
      <c r="D142" s="49"/>
      <c r="E142" s="53"/>
      <c r="F142" s="49"/>
      <c r="G142" s="44" t="str">
        <f t="shared" si="1"/>
        <v/>
      </c>
      <c r="H142" s="46">
        <f t="shared" si="2"/>
        <v>0</v>
      </c>
      <c r="I142" s="47"/>
    </row>
    <row r="143" ht="15.75" customHeight="1">
      <c r="A143" s="51">
        <v>46358.0</v>
      </c>
      <c r="B143" s="52" t="s">
        <v>117</v>
      </c>
      <c r="C143" s="54" t="s">
        <v>12</v>
      </c>
      <c r="D143" s="49"/>
      <c r="E143" s="53"/>
      <c r="F143" s="49"/>
      <c r="G143" s="44" t="str">
        <f t="shared" si="1"/>
        <v/>
      </c>
      <c r="H143" s="46">
        <f t="shared" si="2"/>
        <v>0</v>
      </c>
      <c r="I143" s="47"/>
    </row>
    <row r="144" ht="15.75" customHeight="1">
      <c r="A144" s="51">
        <v>46358.0</v>
      </c>
      <c r="B144" s="52" t="s">
        <v>117</v>
      </c>
      <c r="C144" s="54" t="s">
        <v>47</v>
      </c>
      <c r="D144" s="49"/>
      <c r="E144" s="53"/>
      <c r="F144" s="49"/>
      <c r="G144" s="44" t="str">
        <f t="shared" si="1"/>
        <v/>
      </c>
      <c r="H144" s="46">
        <f t="shared" si="2"/>
        <v>0</v>
      </c>
      <c r="I144" s="47"/>
    </row>
    <row r="145" ht="15.75" customHeight="1">
      <c r="A145" s="51">
        <v>46358.0</v>
      </c>
      <c r="B145" s="52" t="s">
        <v>117</v>
      </c>
      <c r="C145" s="54" t="s">
        <v>18</v>
      </c>
      <c r="D145" s="49"/>
      <c r="E145" s="53"/>
      <c r="F145" s="49"/>
      <c r="G145" s="44" t="str">
        <f t="shared" si="1"/>
        <v/>
      </c>
      <c r="H145" s="46">
        <f t="shared" si="2"/>
        <v>0</v>
      </c>
      <c r="I145" s="47"/>
    </row>
    <row r="146" ht="15.75" customHeight="1">
      <c r="A146" s="51">
        <v>46358.0</v>
      </c>
      <c r="B146" s="52" t="s">
        <v>117</v>
      </c>
      <c r="C146" s="54" t="s">
        <v>37</v>
      </c>
      <c r="D146" s="49"/>
      <c r="E146" s="53"/>
      <c r="F146" s="49"/>
      <c r="G146" s="44" t="str">
        <f t="shared" si="1"/>
        <v/>
      </c>
      <c r="H146" s="46">
        <f t="shared" si="2"/>
        <v>0</v>
      </c>
      <c r="I146" s="47"/>
    </row>
    <row r="147" ht="15.75" customHeight="1">
      <c r="A147" s="38">
        <v>46365.0</v>
      </c>
      <c r="B147" s="39" t="s">
        <v>110</v>
      </c>
      <c r="C147" s="54" t="s">
        <v>38</v>
      </c>
      <c r="D147" s="49"/>
      <c r="E147" s="53"/>
      <c r="F147" s="49"/>
      <c r="G147" s="44" t="str">
        <f t="shared" si="1"/>
        <v/>
      </c>
      <c r="H147" s="46">
        <f t="shared" si="2"/>
        <v>0</v>
      </c>
      <c r="I147" s="47"/>
    </row>
    <row r="148" ht="15.75" customHeight="1">
      <c r="A148" s="38">
        <v>46365.0</v>
      </c>
      <c r="B148" s="39" t="s">
        <v>110</v>
      </c>
      <c r="C148" s="54" t="s">
        <v>56</v>
      </c>
      <c r="D148" s="49"/>
      <c r="E148" s="53"/>
      <c r="F148" s="49"/>
      <c r="G148" s="44" t="str">
        <f t="shared" si="1"/>
        <v/>
      </c>
      <c r="H148" s="46">
        <f t="shared" si="2"/>
        <v>0</v>
      </c>
      <c r="I148" s="47"/>
    </row>
    <row r="149" ht="15.75" customHeight="1">
      <c r="A149" s="38">
        <v>46365.0</v>
      </c>
      <c r="B149" s="39" t="s">
        <v>110</v>
      </c>
      <c r="C149" s="54" t="s">
        <v>30</v>
      </c>
      <c r="D149" s="49"/>
      <c r="E149" s="53"/>
      <c r="F149" s="49"/>
      <c r="G149" s="44" t="str">
        <f t="shared" si="1"/>
        <v/>
      </c>
      <c r="H149" s="46">
        <f t="shared" si="2"/>
        <v>0</v>
      </c>
      <c r="I149" s="47"/>
    </row>
    <row r="150" ht="15.75" customHeight="1">
      <c r="A150" s="38">
        <v>46365.0</v>
      </c>
      <c r="B150" s="39" t="s">
        <v>110</v>
      </c>
      <c r="C150" s="54" t="s">
        <v>50</v>
      </c>
      <c r="D150" s="49"/>
      <c r="E150" s="53"/>
      <c r="F150" s="49"/>
      <c r="G150" s="44" t="str">
        <f t="shared" si="1"/>
        <v/>
      </c>
      <c r="H150" s="46">
        <f t="shared" si="2"/>
        <v>0</v>
      </c>
      <c r="I150" s="47"/>
    </row>
    <row r="151" ht="15.75" customHeight="1">
      <c r="A151" s="38">
        <v>46365.0</v>
      </c>
      <c r="B151" s="39" t="s">
        <v>110</v>
      </c>
      <c r="C151" s="54" t="s">
        <v>59</v>
      </c>
      <c r="D151" s="49"/>
      <c r="E151" s="53"/>
      <c r="F151" s="49"/>
      <c r="G151" s="44" t="str">
        <f t="shared" si="1"/>
        <v/>
      </c>
      <c r="H151" s="46">
        <f t="shared" si="2"/>
        <v>0</v>
      </c>
      <c r="I151" s="47"/>
    </row>
    <row r="152" ht="15.75" customHeight="1">
      <c r="A152" s="51">
        <v>46365.0</v>
      </c>
      <c r="B152" s="52" t="s">
        <v>117</v>
      </c>
      <c r="C152" s="54" t="s">
        <v>17</v>
      </c>
      <c r="D152" s="49"/>
      <c r="E152" s="53"/>
      <c r="F152" s="49"/>
      <c r="G152" s="44" t="str">
        <f t="shared" si="1"/>
        <v/>
      </c>
      <c r="H152" s="46">
        <f t="shared" si="2"/>
        <v>0</v>
      </c>
      <c r="I152" s="47"/>
    </row>
    <row r="153" ht="15.75" customHeight="1">
      <c r="A153" s="51">
        <v>46365.0</v>
      </c>
      <c r="B153" s="52" t="s">
        <v>117</v>
      </c>
      <c r="C153" s="54" t="s">
        <v>12</v>
      </c>
      <c r="D153" s="49"/>
      <c r="E153" s="53"/>
      <c r="F153" s="49"/>
      <c r="G153" s="44" t="str">
        <f t="shared" si="1"/>
        <v/>
      </c>
      <c r="H153" s="46">
        <f t="shared" si="2"/>
        <v>0</v>
      </c>
      <c r="I153" s="47"/>
    </row>
    <row r="154" ht="15.75" customHeight="1">
      <c r="A154" s="51">
        <v>46365.0</v>
      </c>
      <c r="B154" s="52" t="s">
        <v>117</v>
      </c>
      <c r="C154" s="54" t="s">
        <v>47</v>
      </c>
      <c r="D154" s="49"/>
      <c r="E154" s="53"/>
      <c r="F154" s="49"/>
      <c r="G154" s="44" t="str">
        <f t="shared" si="1"/>
        <v/>
      </c>
      <c r="H154" s="46">
        <f t="shared" si="2"/>
        <v>0</v>
      </c>
      <c r="I154" s="47"/>
    </row>
    <row r="155" ht="15.75" customHeight="1">
      <c r="A155" s="51">
        <v>46365.0</v>
      </c>
      <c r="B155" s="52" t="s">
        <v>117</v>
      </c>
      <c r="C155" s="54" t="s">
        <v>18</v>
      </c>
      <c r="D155" s="49"/>
      <c r="E155" s="53"/>
      <c r="F155" s="49"/>
      <c r="G155" s="44" t="str">
        <f t="shared" si="1"/>
        <v/>
      </c>
      <c r="H155" s="46">
        <f t="shared" si="2"/>
        <v>0</v>
      </c>
      <c r="I155" s="47"/>
    </row>
    <row r="156" ht="15.75" customHeight="1">
      <c r="A156" s="51">
        <v>46365.0</v>
      </c>
      <c r="B156" s="52" t="s">
        <v>117</v>
      </c>
      <c r="C156" s="54" t="s">
        <v>37</v>
      </c>
      <c r="D156" s="49"/>
      <c r="E156" s="53"/>
      <c r="F156" s="49"/>
      <c r="G156" s="44" t="str">
        <f t="shared" si="1"/>
        <v/>
      </c>
      <c r="H156" s="46">
        <f t="shared" si="2"/>
        <v>0</v>
      </c>
      <c r="I156" s="47"/>
    </row>
    <row r="157" ht="15.75" customHeight="1">
      <c r="A157" s="38">
        <v>46372.0</v>
      </c>
      <c r="B157" s="39" t="s">
        <v>110</v>
      </c>
      <c r="C157" s="54" t="s">
        <v>38</v>
      </c>
      <c r="D157" s="49"/>
      <c r="E157" s="53"/>
      <c r="F157" s="49"/>
      <c r="G157" s="44" t="str">
        <f t="shared" si="1"/>
        <v/>
      </c>
      <c r="H157" s="46">
        <f t="shared" si="2"/>
        <v>0</v>
      </c>
      <c r="I157" s="47"/>
    </row>
    <row r="158" ht="15.75" customHeight="1">
      <c r="A158" s="38">
        <v>46372.0</v>
      </c>
      <c r="B158" s="39" t="s">
        <v>110</v>
      </c>
      <c r="C158" s="54" t="s">
        <v>56</v>
      </c>
      <c r="D158" s="49"/>
      <c r="E158" s="53"/>
      <c r="F158" s="49"/>
      <c r="G158" s="44" t="str">
        <f t="shared" si="1"/>
        <v/>
      </c>
      <c r="H158" s="46">
        <f t="shared" si="2"/>
        <v>0</v>
      </c>
      <c r="I158" s="47"/>
    </row>
    <row r="159" ht="15.75" customHeight="1">
      <c r="A159" s="38">
        <v>46372.0</v>
      </c>
      <c r="B159" s="39" t="s">
        <v>110</v>
      </c>
      <c r="C159" s="54" t="s">
        <v>30</v>
      </c>
      <c r="D159" s="49"/>
      <c r="E159" s="53"/>
      <c r="F159" s="49"/>
      <c r="G159" s="44" t="str">
        <f t="shared" si="1"/>
        <v/>
      </c>
      <c r="H159" s="46">
        <f t="shared" si="2"/>
        <v>0</v>
      </c>
      <c r="I159" s="47"/>
    </row>
    <row r="160" ht="15.75" customHeight="1">
      <c r="A160" s="38">
        <v>46372.0</v>
      </c>
      <c r="B160" s="39" t="s">
        <v>110</v>
      </c>
      <c r="C160" s="54" t="s">
        <v>50</v>
      </c>
      <c r="D160" s="49"/>
      <c r="E160" s="53"/>
      <c r="F160" s="49"/>
      <c r="G160" s="44" t="str">
        <f t="shared" si="1"/>
        <v/>
      </c>
      <c r="H160" s="46">
        <f t="shared" si="2"/>
        <v>0</v>
      </c>
      <c r="I160" s="47"/>
    </row>
    <row r="161" ht="15.75" customHeight="1">
      <c r="A161" s="38">
        <v>46372.0</v>
      </c>
      <c r="B161" s="39" t="s">
        <v>110</v>
      </c>
      <c r="C161" s="54" t="s">
        <v>59</v>
      </c>
      <c r="D161" s="49"/>
      <c r="E161" s="53"/>
      <c r="F161" s="49"/>
      <c r="G161" s="44" t="str">
        <f t="shared" si="1"/>
        <v/>
      </c>
      <c r="H161" s="46">
        <f t="shared" si="2"/>
        <v>0</v>
      </c>
      <c r="I161" s="47"/>
    </row>
    <row r="162" ht="15.75" customHeight="1">
      <c r="A162" s="51">
        <v>46372.0</v>
      </c>
      <c r="B162" s="52" t="s">
        <v>117</v>
      </c>
      <c r="C162" s="54" t="s">
        <v>17</v>
      </c>
      <c r="D162" s="49"/>
      <c r="E162" s="53"/>
      <c r="F162" s="49"/>
      <c r="G162" s="44" t="str">
        <f t="shared" si="1"/>
        <v/>
      </c>
      <c r="H162" s="46">
        <f t="shared" si="2"/>
        <v>0</v>
      </c>
      <c r="I162" s="47"/>
    </row>
    <row r="163" ht="15.75" customHeight="1">
      <c r="A163" s="51">
        <v>46372.0</v>
      </c>
      <c r="B163" s="52" t="s">
        <v>117</v>
      </c>
      <c r="C163" s="54" t="s">
        <v>12</v>
      </c>
      <c r="D163" s="49"/>
      <c r="E163" s="53"/>
      <c r="F163" s="49"/>
      <c r="G163" s="44" t="str">
        <f t="shared" si="1"/>
        <v/>
      </c>
      <c r="H163" s="46">
        <f t="shared" si="2"/>
        <v>0</v>
      </c>
      <c r="I163" s="47"/>
    </row>
    <row r="164" ht="15.75" customHeight="1">
      <c r="A164" s="51">
        <v>46372.0</v>
      </c>
      <c r="B164" s="52" t="s">
        <v>117</v>
      </c>
      <c r="C164" s="54" t="s">
        <v>47</v>
      </c>
      <c r="D164" s="49"/>
      <c r="E164" s="53"/>
      <c r="F164" s="49"/>
      <c r="G164" s="44" t="str">
        <f t="shared" si="1"/>
        <v/>
      </c>
      <c r="H164" s="46">
        <f t="shared" si="2"/>
        <v>0</v>
      </c>
      <c r="I164" s="47"/>
    </row>
    <row r="165" ht="15.75" customHeight="1">
      <c r="A165" s="51">
        <v>46372.0</v>
      </c>
      <c r="B165" s="52" t="s">
        <v>117</v>
      </c>
      <c r="C165" s="54" t="s">
        <v>18</v>
      </c>
      <c r="D165" s="49"/>
      <c r="E165" s="53"/>
      <c r="F165" s="49"/>
      <c r="G165" s="44" t="str">
        <f t="shared" si="1"/>
        <v/>
      </c>
      <c r="H165" s="46">
        <f t="shared" si="2"/>
        <v>0</v>
      </c>
      <c r="I165" s="47"/>
    </row>
    <row r="166" ht="15.75" customHeight="1">
      <c r="A166" s="51">
        <v>46372.0</v>
      </c>
      <c r="B166" s="52" t="s">
        <v>117</v>
      </c>
      <c r="C166" s="54" t="s">
        <v>37</v>
      </c>
      <c r="D166" s="49"/>
      <c r="E166" s="53"/>
      <c r="F166" s="49"/>
      <c r="G166" s="44" t="str">
        <f t="shared" si="1"/>
        <v/>
      </c>
      <c r="H166" s="46">
        <f t="shared" si="2"/>
        <v>0</v>
      </c>
      <c r="I166" s="47"/>
    </row>
    <row r="167" ht="15.75" customHeight="1">
      <c r="A167" s="38">
        <v>46379.0</v>
      </c>
      <c r="B167" s="39" t="s">
        <v>110</v>
      </c>
      <c r="C167" s="54" t="s">
        <v>38</v>
      </c>
      <c r="D167" s="49"/>
      <c r="E167" s="53"/>
      <c r="F167" s="49"/>
      <c r="G167" s="44" t="str">
        <f t="shared" si="1"/>
        <v/>
      </c>
      <c r="H167" s="46">
        <f t="shared" si="2"/>
        <v>0</v>
      </c>
      <c r="I167" s="47"/>
    </row>
    <row r="168" ht="15.75" customHeight="1">
      <c r="A168" s="38">
        <v>46379.0</v>
      </c>
      <c r="B168" s="39" t="s">
        <v>110</v>
      </c>
      <c r="C168" s="54" t="s">
        <v>56</v>
      </c>
      <c r="D168" s="49"/>
      <c r="E168" s="53"/>
      <c r="F168" s="49"/>
      <c r="G168" s="44" t="str">
        <f t="shared" si="1"/>
        <v/>
      </c>
      <c r="H168" s="46">
        <f t="shared" si="2"/>
        <v>0</v>
      </c>
      <c r="I168" s="47"/>
    </row>
    <row r="169" ht="15.75" customHeight="1">
      <c r="A169" s="38">
        <v>46379.0</v>
      </c>
      <c r="B169" s="39" t="s">
        <v>110</v>
      </c>
      <c r="C169" s="54" t="s">
        <v>30</v>
      </c>
      <c r="D169" s="49"/>
      <c r="E169" s="53"/>
      <c r="F169" s="49"/>
      <c r="G169" s="44" t="str">
        <f t="shared" si="1"/>
        <v/>
      </c>
      <c r="H169" s="46">
        <f t="shared" si="2"/>
        <v>0</v>
      </c>
      <c r="I169" s="47"/>
    </row>
    <row r="170" ht="15.75" customHeight="1">
      <c r="A170" s="38">
        <v>46379.0</v>
      </c>
      <c r="B170" s="39" t="s">
        <v>110</v>
      </c>
      <c r="C170" s="54" t="s">
        <v>50</v>
      </c>
      <c r="D170" s="49"/>
      <c r="E170" s="53"/>
      <c r="F170" s="49"/>
      <c r="G170" s="44" t="str">
        <f t="shared" si="1"/>
        <v/>
      </c>
      <c r="H170" s="46">
        <f t="shared" si="2"/>
        <v>0</v>
      </c>
      <c r="I170" s="47"/>
    </row>
    <row r="171" ht="15.75" customHeight="1">
      <c r="A171" s="38">
        <v>46379.0</v>
      </c>
      <c r="B171" s="39" t="s">
        <v>110</v>
      </c>
      <c r="C171" s="54" t="s">
        <v>59</v>
      </c>
      <c r="D171" s="49"/>
      <c r="E171" s="53"/>
      <c r="F171" s="49"/>
      <c r="G171" s="44" t="str">
        <f t="shared" si="1"/>
        <v/>
      </c>
      <c r="H171" s="46">
        <f t="shared" si="2"/>
        <v>0</v>
      </c>
      <c r="I171" s="47"/>
    </row>
    <row r="172" ht="15.75" customHeight="1">
      <c r="A172" s="51">
        <v>46379.0</v>
      </c>
      <c r="B172" s="52" t="s">
        <v>117</v>
      </c>
      <c r="C172" s="54" t="s">
        <v>17</v>
      </c>
      <c r="D172" s="49"/>
      <c r="E172" s="53"/>
      <c r="F172" s="49"/>
      <c r="G172" s="44" t="str">
        <f t="shared" si="1"/>
        <v/>
      </c>
      <c r="H172" s="46">
        <f t="shared" si="2"/>
        <v>0</v>
      </c>
      <c r="I172" s="47"/>
    </row>
    <row r="173" ht="15.75" customHeight="1">
      <c r="A173" s="51">
        <v>46379.0</v>
      </c>
      <c r="B173" s="52" t="s">
        <v>117</v>
      </c>
      <c r="C173" s="54" t="s">
        <v>12</v>
      </c>
      <c r="D173" s="49"/>
      <c r="E173" s="53"/>
      <c r="F173" s="49"/>
      <c r="G173" s="44" t="str">
        <f t="shared" si="1"/>
        <v/>
      </c>
      <c r="H173" s="46">
        <f t="shared" si="2"/>
        <v>0</v>
      </c>
      <c r="I173" s="47"/>
    </row>
    <row r="174" ht="15.75" customHeight="1">
      <c r="A174" s="51">
        <v>46379.0</v>
      </c>
      <c r="B174" s="52" t="s">
        <v>117</v>
      </c>
      <c r="C174" s="54" t="s">
        <v>47</v>
      </c>
      <c r="D174" s="49"/>
      <c r="E174" s="53"/>
      <c r="F174" s="49"/>
      <c r="G174" s="44" t="str">
        <f t="shared" si="1"/>
        <v/>
      </c>
      <c r="H174" s="46">
        <f t="shared" si="2"/>
        <v>0</v>
      </c>
      <c r="I174" s="47"/>
    </row>
    <row r="175" ht="15.75" customHeight="1">
      <c r="A175" s="51">
        <v>46379.0</v>
      </c>
      <c r="B175" s="52" t="s">
        <v>117</v>
      </c>
      <c r="C175" s="54" t="s">
        <v>18</v>
      </c>
      <c r="D175" s="49"/>
      <c r="E175" s="53"/>
      <c r="F175" s="49"/>
      <c r="G175" s="44" t="str">
        <f t="shared" si="1"/>
        <v/>
      </c>
      <c r="H175" s="46">
        <f t="shared" si="2"/>
        <v>0</v>
      </c>
      <c r="I175" s="47"/>
    </row>
    <row r="176" ht="15.75" customHeight="1">
      <c r="A176" s="51">
        <v>46379.0</v>
      </c>
      <c r="B176" s="52" t="s">
        <v>117</v>
      </c>
      <c r="C176" s="54" t="s">
        <v>37</v>
      </c>
      <c r="D176" s="49"/>
      <c r="E176" s="53"/>
      <c r="F176" s="49"/>
      <c r="G176" s="44" t="str">
        <f t="shared" si="1"/>
        <v/>
      </c>
      <c r="H176" s="46">
        <f t="shared" si="2"/>
        <v>0</v>
      </c>
      <c r="I176" s="47"/>
    </row>
    <row r="177" ht="15.75" customHeight="1">
      <c r="A177" s="38">
        <v>46386.0</v>
      </c>
      <c r="B177" s="39" t="s">
        <v>110</v>
      </c>
      <c r="C177" s="54" t="s">
        <v>38</v>
      </c>
      <c r="D177" s="49"/>
      <c r="E177" s="53"/>
      <c r="F177" s="49"/>
      <c r="G177" s="44" t="str">
        <f t="shared" si="1"/>
        <v/>
      </c>
      <c r="H177" s="46">
        <f t="shared" si="2"/>
        <v>0</v>
      </c>
      <c r="I177" s="47"/>
    </row>
    <row r="178" ht="15.75" customHeight="1">
      <c r="A178" s="38">
        <v>46386.0</v>
      </c>
      <c r="B178" s="39" t="s">
        <v>110</v>
      </c>
      <c r="C178" s="54" t="s">
        <v>56</v>
      </c>
      <c r="D178" s="49"/>
      <c r="E178" s="53"/>
      <c r="F178" s="49"/>
      <c r="G178" s="44" t="str">
        <f t="shared" si="1"/>
        <v/>
      </c>
      <c r="H178" s="46">
        <f t="shared" si="2"/>
        <v>0</v>
      </c>
      <c r="I178" s="47"/>
    </row>
    <row r="179" ht="15.75" customHeight="1">
      <c r="A179" s="38">
        <v>46386.0</v>
      </c>
      <c r="B179" s="39" t="s">
        <v>110</v>
      </c>
      <c r="C179" s="54" t="s">
        <v>30</v>
      </c>
      <c r="D179" s="49"/>
      <c r="E179" s="53"/>
      <c r="F179" s="49"/>
      <c r="G179" s="44" t="str">
        <f t="shared" si="1"/>
        <v/>
      </c>
      <c r="H179" s="46">
        <f t="shared" si="2"/>
        <v>0</v>
      </c>
      <c r="I179" s="47"/>
    </row>
    <row r="180" ht="15.75" customHeight="1">
      <c r="A180" s="38">
        <v>46386.0</v>
      </c>
      <c r="B180" s="39" t="s">
        <v>110</v>
      </c>
      <c r="C180" s="54" t="s">
        <v>50</v>
      </c>
      <c r="D180" s="49"/>
      <c r="E180" s="53"/>
      <c r="F180" s="49"/>
      <c r="G180" s="44" t="str">
        <f t="shared" si="1"/>
        <v/>
      </c>
      <c r="H180" s="46">
        <f t="shared" si="2"/>
        <v>0</v>
      </c>
      <c r="I180" s="47"/>
    </row>
    <row r="181" ht="15.75" customHeight="1">
      <c r="A181" s="38">
        <v>46386.0</v>
      </c>
      <c r="B181" s="39" t="s">
        <v>110</v>
      </c>
      <c r="C181" s="54" t="s">
        <v>59</v>
      </c>
      <c r="D181" s="49"/>
      <c r="E181" s="53"/>
      <c r="F181" s="49"/>
      <c r="G181" s="44" t="str">
        <f t="shared" si="1"/>
        <v/>
      </c>
      <c r="H181" s="46">
        <f t="shared" si="2"/>
        <v>0</v>
      </c>
      <c r="I181" s="47"/>
    </row>
    <row r="182" ht="15.75" customHeight="1">
      <c r="A182" s="51">
        <v>46386.0</v>
      </c>
      <c r="B182" s="52" t="s">
        <v>117</v>
      </c>
      <c r="C182" s="54" t="s">
        <v>17</v>
      </c>
      <c r="D182" s="49"/>
      <c r="E182" s="53"/>
      <c r="F182" s="49"/>
      <c r="G182" s="44" t="str">
        <f t="shared" si="1"/>
        <v/>
      </c>
      <c r="H182" s="46">
        <f t="shared" si="2"/>
        <v>0</v>
      </c>
      <c r="I182" s="47"/>
    </row>
    <row r="183" ht="15.75" customHeight="1">
      <c r="A183" s="51">
        <v>46386.0</v>
      </c>
      <c r="B183" s="52" t="s">
        <v>117</v>
      </c>
      <c r="C183" s="54" t="s">
        <v>12</v>
      </c>
      <c r="D183" s="49"/>
      <c r="E183" s="53"/>
      <c r="F183" s="49"/>
      <c r="G183" s="44" t="str">
        <f t="shared" si="1"/>
        <v/>
      </c>
      <c r="H183" s="46">
        <f t="shared" si="2"/>
        <v>0</v>
      </c>
      <c r="I183" s="47"/>
    </row>
    <row r="184" ht="15.75" customHeight="1">
      <c r="A184" s="51">
        <v>46386.0</v>
      </c>
      <c r="B184" s="52" t="s">
        <v>117</v>
      </c>
      <c r="C184" s="54" t="s">
        <v>47</v>
      </c>
      <c r="D184" s="49"/>
      <c r="E184" s="53"/>
      <c r="F184" s="49"/>
      <c r="G184" s="44" t="str">
        <f t="shared" si="1"/>
        <v/>
      </c>
      <c r="H184" s="46">
        <f t="shared" si="2"/>
        <v>0</v>
      </c>
      <c r="I184" s="47"/>
    </row>
    <row r="185" ht="15.75" customHeight="1">
      <c r="A185" s="51">
        <v>46386.0</v>
      </c>
      <c r="B185" s="52" t="s">
        <v>117</v>
      </c>
      <c r="C185" s="54" t="s">
        <v>18</v>
      </c>
      <c r="D185" s="49"/>
      <c r="E185" s="53"/>
      <c r="F185" s="49"/>
      <c r="G185" s="44" t="str">
        <f t="shared" si="1"/>
        <v/>
      </c>
      <c r="H185" s="46">
        <f t="shared" si="2"/>
        <v>0</v>
      </c>
      <c r="I185" s="47"/>
    </row>
    <row r="186" ht="15.75" customHeight="1">
      <c r="A186" s="51">
        <v>46386.0</v>
      </c>
      <c r="B186" s="52" t="s">
        <v>117</v>
      </c>
      <c r="C186" s="54" t="s">
        <v>37</v>
      </c>
      <c r="D186" s="49"/>
      <c r="E186" s="53"/>
      <c r="F186" s="49"/>
      <c r="G186" s="44" t="str">
        <f t="shared" si="1"/>
        <v/>
      </c>
      <c r="H186" s="46">
        <f t="shared" si="2"/>
        <v>0</v>
      </c>
      <c r="I186" s="47"/>
    </row>
    <row r="187" ht="15.75" customHeight="1">
      <c r="A187" s="38">
        <v>46393.0</v>
      </c>
      <c r="B187" s="39" t="s">
        <v>110</v>
      </c>
      <c r="C187" s="54" t="s">
        <v>38</v>
      </c>
      <c r="D187" s="49"/>
      <c r="E187" s="53"/>
      <c r="F187" s="49"/>
      <c r="G187" s="44" t="str">
        <f t="shared" si="1"/>
        <v/>
      </c>
      <c r="H187" s="46">
        <f t="shared" si="2"/>
        <v>0</v>
      </c>
      <c r="I187" s="47"/>
    </row>
    <row r="188" ht="15.75" customHeight="1">
      <c r="A188" s="38">
        <v>46393.0</v>
      </c>
      <c r="B188" s="39" t="s">
        <v>110</v>
      </c>
      <c r="C188" s="54" t="s">
        <v>56</v>
      </c>
      <c r="D188" s="49"/>
      <c r="E188" s="53"/>
      <c r="F188" s="49"/>
      <c r="G188" s="44" t="str">
        <f t="shared" si="1"/>
        <v/>
      </c>
      <c r="H188" s="46">
        <f t="shared" si="2"/>
        <v>0</v>
      </c>
      <c r="I188" s="47"/>
    </row>
    <row r="189" ht="15.75" customHeight="1">
      <c r="A189" s="38">
        <v>46393.0</v>
      </c>
      <c r="B189" s="39" t="s">
        <v>110</v>
      </c>
      <c r="C189" s="54" t="s">
        <v>30</v>
      </c>
      <c r="D189" s="49"/>
      <c r="E189" s="53"/>
      <c r="F189" s="49"/>
      <c r="G189" s="44" t="str">
        <f t="shared" si="1"/>
        <v/>
      </c>
      <c r="H189" s="46">
        <f t="shared" si="2"/>
        <v>0</v>
      </c>
      <c r="I189" s="47"/>
    </row>
    <row r="190" ht="15.75" customHeight="1">
      <c r="A190" s="38">
        <v>46393.0</v>
      </c>
      <c r="B190" s="39" t="s">
        <v>110</v>
      </c>
      <c r="C190" s="54" t="s">
        <v>50</v>
      </c>
      <c r="D190" s="49"/>
      <c r="E190" s="53"/>
      <c r="F190" s="49"/>
      <c r="G190" s="44" t="str">
        <f t="shared" si="1"/>
        <v/>
      </c>
      <c r="H190" s="46">
        <f t="shared" si="2"/>
        <v>0</v>
      </c>
      <c r="I190" s="47"/>
    </row>
    <row r="191" ht="15.75" customHeight="1">
      <c r="A191" s="38">
        <v>46393.0</v>
      </c>
      <c r="B191" s="39" t="s">
        <v>110</v>
      </c>
      <c r="C191" s="54" t="s">
        <v>59</v>
      </c>
      <c r="D191" s="49"/>
      <c r="E191" s="53"/>
      <c r="F191" s="49"/>
      <c r="G191" s="44" t="str">
        <f t="shared" si="1"/>
        <v/>
      </c>
      <c r="H191" s="46">
        <f t="shared" si="2"/>
        <v>0</v>
      </c>
      <c r="I191" s="47"/>
    </row>
    <row r="192" ht="15.75" customHeight="1">
      <c r="A192" s="51">
        <v>46393.0</v>
      </c>
      <c r="B192" s="52" t="s">
        <v>117</v>
      </c>
      <c r="C192" s="54" t="s">
        <v>17</v>
      </c>
      <c r="D192" s="49"/>
      <c r="E192" s="53"/>
      <c r="F192" s="49"/>
      <c r="G192" s="44" t="str">
        <f t="shared" si="1"/>
        <v/>
      </c>
      <c r="H192" s="46">
        <f t="shared" si="2"/>
        <v>0</v>
      </c>
      <c r="I192" s="47"/>
    </row>
    <row r="193" ht="15.75" customHeight="1">
      <c r="A193" s="51">
        <v>46393.0</v>
      </c>
      <c r="B193" s="52" t="s">
        <v>117</v>
      </c>
      <c r="C193" s="54" t="s">
        <v>12</v>
      </c>
      <c r="D193" s="49"/>
      <c r="E193" s="53"/>
      <c r="F193" s="49"/>
      <c r="G193" s="44" t="str">
        <f t="shared" si="1"/>
        <v/>
      </c>
      <c r="H193" s="46">
        <f t="shared" si="2"/>
        <v>0</v>
      </c>
      <c r="I193" s="47"/>
    </row>
    <row r="194" ht="15.75" customHeight="1">
      <c r="A194" s="51">
        <v>46393.0</v>
      </c>
      <c r="B194" s="52" t="s">
        <v>117</v>
      </c>
      <c r="C194" s="54" t="s">
        <v>47</v>
      </c>
      <c r="D194" s="49"/>
      <c r="E194" s="53"/>
      <c r="F194" s="49"/>
      <c r="G194" s="44" t="str">
        <f t="shared" si="1"/>
        <v/>
      </c>
      <c r="H194" s="46">
        <f t="shared" si="2"/>
        <v>0</v>
      </c>
      <c r="I194" s="47"/>
    </row>
    <row r="195" ht="15.75" customHeight="1">
      <c r="A195" s="51">
        <v>46393.0</v>
      </c>
      <c r="B195" s="52" t="s">
        <v>117</v>
      </c>
      <c r="C195" s="54" t="s">
        <v>18</v>
      </c>
      <c r="D195" s="49"/>
      <c r="E195" s="53"/>
      <c r="F195" s="49"/>
      <c r="G195" s="44" t="str">
        <f t="shared" si="1"/>
        <v/>
      </c>
      <c r="H195" s="46">
        <f t="shared" si="2"/>
        <v>0</v>
      </c>
      <c r="I195" s="47"/>
    </row>
    <row r="196" ht="15.75" customHeight="1">
      <c r="A196" s="51">
        <v>46393.0</v>
      </c>
      <c r="B196" s="52" t="s">
        <v>117</v>
      </c>
      <c r="C196" s="54" t="s">
        <v>37</v>
      </c>
      <c r="D196" s="49"/>
      <c r="E196" s="53"/>
      <c r="F196" s="49"/>
      <c r="G196" s="44" t="str">
        <f t="shared" si="1"/>
        <v/>
      </c>
      <c r="H196" s="46">
        <f t="shared" si="2"/>
        <v>0</v>
      </c>
      <c r="I196" s="47"/>
    </row>
    <row r="197" ht="15.75" customHeight="1">
      <c r="A197" s="38">
        <v>46400.0</v>
      </c>
      <c r="B197" s="39" t="s">
        <v>110</v>
      </c>
      <c r="C197" s="54" t="s">
        <v>38</v>
      </c>
      <c r="D197" s="49"/>
      <c r="E197" s="53"/>
      <c r="F197" s="49"/>
      <c r="G197" s="44" t="str">
        <f t="shared" si="1"/>
        <v/>
      </c>
      <c r="H197" s="46">
        <f t="shared" si="2"/>
        <v>0</v>
      </c>
      <c r="I197" s="47"/>
    </row>
    <row r="198" ht="15.75" customHeight="1">
      <c r="A198" s="38">
        <v>46400.0</v>
      </c>
      <c r="B198" s="39" t="s">
        <v>110</v>
      </c>
      <c r="C198" s="54" t="s">
        <v>56</v>
      </c>
      <c r="D198" s="49"/>
      <c r="E198" s="53"/>
      <c r="F198" s="49"/>
      <c r="G198" s="44" t="str">
        <f t="shared" si="1"/>
        <v/>
      </c>
      <c r="H198" s="46">
        <f t="shared" si="2"/>
        <v>0</v>
      </c>
      <c r="I198" s="47"/>
    </row>
    <row r="199" ht="15.75" customHeight="1">
      <c r="A199" s="38">
        <v>46400.0</v>
      </c>
      <c r="B199" s="39" t="s">
        <v>110</v>
      </c>
      <c r="C199" s="54" t="s">
        <v>30</v>
      </c>
      <c r="D199" s="49"/>
      <c r="E199" s="53"/>
      <c r="F199" s="49"/>
      <c r="G199" s="44" t="str">
        <f t="shared" si="1"/>
        <v/>
      </c>
      <c r="H199" s="46">
        <f t="shared" si="2"/>
        <v>0</v>
      </c>
      <c r="I199" s="47"/>
    </row>
    <row r="200" ht="15.75" customHeight="1">
      <c r="A200" s="38">
        <v>46400.0</v>
      </c>
      <c r="B200" s="39" t="s">
        <v>110</v>
      </c>
      <c r="C200" s="54" t="s">
        <v>50</v>
      </c>
      <c r="D200" s="49"/>
      <c r="E200" s="53"/>
      <c r="F200" s="49"/>
      <c r="G200" s="44" t="str">
        <f t="shared" si="1"/>
        <v/>
      </c>
      <c r="H200" s="46">
        <f t="shared" si="2"/>
        <v>0</v>
      </c>
      <c r="I200" s="47"/>
    </row>
    <row r="201" ht="15.75" customHeight="1">
      <c r="A201" s="38">
        <v>46400.0</v>
      </c>
      <c r="B201" s="39" t="s">
        <v>110</v>
      </c>
      <c r="C201" s="54" t="s">
        <v>59</v>
      </c>
      <c r="D201" s="49"/>
      <c r="E201" s="53"/>
      <c r="F201" s="49"/>
      <c r="G201" s="44" t="str">
        <f t="shared" si="1"/>
        <v/>
      </c>
      <c r="H201" s="46">
        <f t="shared" si="2"/>
        <v>0</v>
      </c>
      <c r="I201" s="47"/>
    </row>
    <row r="202" ht="15.75" customHeight="1">
      <c r="A202" s="51">
        <v>46400.0</v>
      </c>
      <c r="B202" s="52" t="s">
        <v>117</v>
      </c>
      <c r="C202" s="54" t="s">
        <v>17</v>
      </c>
      <c r="D202" s="49"/>
      <c r="E202" s="53"/>
      <c r="F202" s="49"/>
      <c r="G202" s="44" t="str">
        <f t="shared" si="1"/>
        <v/>
      </c>
      <c r="H202" s="46">
        <f t="shared" si="2"/>
        <v>0</v>
      </c>
      <c r="I202" s="47"/>
    </row>
    <row r="203" ht="15.75" customHeight="1">
      <c r="A203" s="51">
        <v>46400.0</v>
      </c>
      <c r="B203" s="52" t="s">
        <v>117</v>
      </c>
      <c r="C203" s="54" t="s">
        <v>12</v>
      </c>
      <c r="D203" s="49"/>
      <c r="E203" s="53"/>
      <c r="F203" s="49"/>
      <c r="G203" s="44" t="str">
        <f t="shared" si="1"/>
        <v/>
      </c>
      <c r="H203" s="46">
        <f t="shared" si="2"/>
        <v>0</v>
      </c>
      <c r="I203" s="47"/>
    </row>
    <row r="204" ht="15.75" customHeight="1">
      <c r="A204" s="51">
        <v>46400.0</v>
      </c>
      <c r="B204" s="52" t="s">
        <v>117</v>
      </c>
      <c r="C204" s="54" t="s">
        <v>47</v>
      </c>
      <c r="D204" s="49"/>
      <c r="E204" s="53"/>
      <c r="F204" s="49"/>
      <c r="G204" s="44" t="str">
        <f t="shared" si="1"/>
        <v/>
      </c>
      <c r="H204" s="46">
        <f t="shared" si="2"/>
        <v>0</v>
      </c>
      <c r="I204" s="47"/>
    </row>
    <row r="205" ht="15.75" customHeight="1">
      <c r="A205" s="51">
        <v>46400.0</v>
      </c>
      <c r="B205" s="52" t="s">
        <v>117</v>
      </c>
      <c r="C205" s="54" t="s">
        <v>18</v>
      </c>
      <c r="D205" s="49"/>
      <c r="E205" s="53"/>
      <c r="F205" s="49"/>
      <c r="G205" s="44" t="str">
        <f t="shared" si="1"/>
        <v/>
      </c>
      <c r="H205" s="46">
        <f t="shared" si="2"/>
        <v>0</v>
      </c>
      <c r="I205" s="47"/>
    </row>
    <row r="206" ht="15.75" customHeight="1">
      <c r="A206" s="51">
        <v>46400.0</v>
      </c>
      <c r="B206" s="52" t="s">
        <v>117</v>
      </c>
      <c r="C206" s="54" t="s">
        <v>37</v>
      </c>
      <c r="D206" s="49"/>
      <c r="E206" s="53"/>
      <c r="F206" s="49"/>
      <c r="G206" s="44" t="str">
        <f t="shared" si="1"/>
        <v/>
      </c>
      <c r="H206" s="46">
        <f t="shared" si="2"/>
        <v>0</v>
      </c>
      <c r="I206" s="47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G7:G206">
    <cfRule type="containsText" dxfId="5" priority="1" operator="containsText" text="Ya">
      <formula>NOT(ISERROR(SEARCH(("Ya"),(G7))))</formula>
    </cfRule>
  </conditionalFormatting>
  <conditionalFormatting sqref="G7:G206">
    <cfRule type="containsText" dxfId="6" priority="2" operator="containsText" text="Tidak">
      <formula>NOT(ISERROR(SEARCH(("Tidak"),(G7))))</formula>
    </cfRule>
  </conditionalFormatting>
  <dataValidations>
    <dataValidation type="list" allowBlank="1" sqref="B7:B206">
      <formula1>"Pagi,Siang"</formula1>
    </dataValidation>
    <dataValidation type="custom" allowBlank="1" showDropDown="1" sqref="E7:E206">
      <formula1>OR(TIMEVALUE(TEXT(E7, "hh:mm:ss"))=E7, AND(ISNUMBER(E7), LEFT(CELL("format", E7))="D"))</formula1>
    </dataValidation>
    <dataValidation type="custom" allowBlank="1" sqref="A7:A206">
      <formula1>OR(NOT(ISERROR(DATEVALUE(A7))), AND(ISNUMBER(A7), LEFT(CELL("format", A7))="D"))</formula1>
    </dataValidation>
    <dataValidation type="list" allowBlank="1" sqref="G7:G206">
      <formula1>"Ya,Tidak"</formula1>
    </dataValidation>
    <dataValidation type="list" allowBlank="1" sqref="F7:F206">
      <formula1>"Ya,Tidak"</formula1>
    </dataValidation>
    <dataValidation type="custom" allowBlank="1" sqref="H7:H206">
      <formula1/>
    </dataValidation>
    <dataValidation type="list" allowBlank="1" sqref="D7:D206">
      <formula1>"Hadir,Tidak Hadir"</formula1>
    </dataValidation>
    <dataValidation type="list" allowBlank="1" sqref="I7:I206">
      <formula1>"Lunas,Belum Lunas"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86"/>
    <col customWidth="1" min="2" max="2" width="11.71"/>
    <col customWidth="1" min="3" max="3" width="33.86"/>
    <col customWidth="1" min="4" max="4" width="15.43"/>
    <col customWidth="1" min="5" max="5" width="20.29"/>
    <col customWidth="1" min="6" max="6" width="21.0"/>
    <col customWidth="1" min="7" max="7" width="16.71"/>
    <col customWidth="1" min="8" max="8" width="20.14"/>
    <col customWidth="1" min="9" max="9" width="21.29"/>
  </cols>
  <sheetData>
    <row r="1" ht="18.0" customHeight="1">
      <c r="A1" s="5" t="s">
        <v>122</v>
      </c>
      <c r="B1" s="6"/>
      <c r="C1" s="6"/>
      <c r="D1" s="6"/>
      <c r="E1" s="6"/>
      <c r="F1" s="6"/>
      <c r="G1" s="6"/>
      <c r="H1" s="7"/>
    </row>
    <row r="2" ht="14.25" customHeight="1">
      <c r="A2" s="24" t="s">
        <v>74</v>
      </c>
    </row>
    <row r="3" ht="14.25" customHeight="1">
      <c r="A3" s="25" t="s">
        <v>84</v>
      </c>
      <c r="B3" s="26" t="s">
        <v>123</v>
      </c>
    </row>
    <row r="4" ht="14.25" customHeight="1">
      <c r="A4" s="25" t="s">
        <v>95</v>
      </c>
      <c r="B4" s="26" t="s">
        <v>124</v>
      </c>
    </row>
    <row r="6" ht="33.75" customHeight="1">
      <c r="A6" s="33" t="s">
        <v>97</v>
      </c>
      <c r="B6" s="33" t="s">
        <v>102</v>
      </c>
      <c r="C6" s="33" t="s">
        <v>8</v>
      </c>
      <c r="D6" s="33" t="s">
        <v>103</v>
      </c>
      <c r="E6" s="33" t="s">
        <v>104</v>
      </c>
      <c r="F6" s="33" t="s">
        <v>105</v>
      </c>
      <c r="G6" s="33" t="s">
        <v>106</v>
      </c>
      <c r="H6" s="33" t="s">
        <v>108</v>
      </c>
      <c r="I6" s="37" t="s">
        <v>109</v>
      </c>
    </row>
    <row r="7" ht="22.5" customHeight="1">
      <c r="A7" s="38">
        <v>46268.0</v>
      </c>
      <c r="B7" s="39" t="s">
        <v>110</v>
      </c>
      <c r="C7" s="54" t="s">
        <v>13</v>
      </c>
      <c r="D7" s="42"/>
      <c r="E7" s="55"/>
      <c r="F7" s="56"/>
      <c r="G7" s="44" t="str">
        <f t="shared" ref="G7:G186" si="1">IF($F7="Ya","Tidak",IF($D7="Tidak Hadir","Ya",IF($D7="","",IF($E7="",IF(NOW()&gt;$A7+IF($B7="Pagi",TIME(12,30,0),TIME(15,0,0)),"Ya",""),IF(IF(OR($C7="Alya Dwi Nurmiyati",$C7="Bagas Aryo Wicaksono",$C7="Dastin Rangga Berani",$C7="Fadhil Rusydi Hafizh",$C7="Febinadia Salsabila",$C7="Gusti Agung Ayu Savithri Nirmalasari",$C7="Maria Ellora Damarkasih",$C7="Mohammad Aqsha Dwinovryan",$C7="Najwa Aulia Putri",$C7="Reksa Utami",$C7="Surya Winaldi Yakin",$C7="Yossi Tri Rahmanda"),$E7&gt;IF($B7="Pagi",TIME(10,15,0),TIME(12,45,0)),$E7&gt;IF($B7="Pagi",TIME(10,30,0),TIME(13,0,0))),"Ya","Tidak")))))</f>
        <v/>
      </c>
      <c r="H7" s="46">
        <f t="shared" ref="H7:H186" si="2">IF($F7="Ya",0,IF($G7="Ya",IF($D7="Tidak Hadir",10000,IF($E7="",10000,5000)),0))</f>
        <v>0</v>
      </c>
      <c r="I7" s="47"/>
    </row>
    <row r="8" ht="22.5" customHeight="1">
      <c r="A8" s="38">
        <v>46268.0</v>
      </c>
      <c r="B8" s="39" t="s">
        <v>110</v>
      </c>
      <c r="C8" s="54" t="s">
        <v>17</v>
      </c>
      <c r="D8" s="49"/>
      <c r="E8" s="57"/>
      <c r="F8" s="49"/>
      <c r="G8" s="44" t="str">
        <f t="shared" si="1"/>
        <v/>
      </c>
      <c r="H8" s="46">
        <f t="shared" si="2"/>
        <v>0</v>
      </c>
      <c r="I8" s="47"/>
    </row>
    <row r="9" ht="22.5" customHeight="1">
      <c r="A9" s="38">
        <v>46268.0</v>
      </c>
      <c r="B9" s="39" t="s">
        <v>110</v>
      </c>
      <c r="C9" s="54" t="s">
        <v>39</v>
      </c>
      <c r="D9" s="56"/>
      <c r="E9" s="57"/>
      <c r="F9" s="56"/>
      <c r="G9" s="44" t="str">
        <f t="shared" si="1"/>
        <v/>
      </c>
      <c r="H9" s="46">
        <f t="shared" si="2"/>
        <v>0</v>
      </c>
      <c r="I9" s="47"/>
    </row>
    <row r="10" ht="22.5" customHeight="1">
      <c r="A10" s="38">
        <v>46268.0</v>
      </c>
      <c r="B10" s="39" t="s">
        <v>110</v>
      </c>
      <c r="C10" s="54" t="s">
        <v>54</v>
      </c>
      <c r="D10" s="49"/>
      <c r="E10" s="57"/>
      <c r="F10" s="49"/>
      <c r="G10" s="44" t="str">
        <f t="shared" si="1"/>
        <v/>
      </c>
      <c r="H10" s="46">
        <f t="shared" si="2"/>
        <v>0</v>
      </c>
      <c r="I10" s="47"/>
    </row>
    <row r="11" ht="22.5" customHeight="1">
      <c r="A11" s="51">
        <v>46268.0</v>
      </c>
      <c r="B11" s="52" t="s">
        <v>117</v>
      </c>
      <c r="C11" s="54" t="s">
        <v>21</v>
      </c>
      <c r="D11" s="42" t="s">
        <v>114</v>
      </c>
      <c r="E11" s="58">
        <v>0.5</v>
      </c>
      <c r="F11" s="42" t="s">
        <v>112</v>
      </c>
      <c r="G11" s="44" t="str">
        <f t="shared" si="1"/>
        <v>Tidak</v>
      </c>
      <c r="H11" s="46">
        <f t="shared" si="2"/>
        <v>0</v>
      </c>
      <c r="I11" s="47"/>
    </row>
    <row r="12" ht="22.5" customHeight="1">
      <c r="A12" s="51">
        <v>46268.0</v>
      </c>
      <c r="B12" s="52" t="s">
        <v>117</v>
      </c>
      <c r="C12" s="54" t="s">
        <v>107</v>
      </c>
      <c r="D12" s="42" t="s">
        <v>111</v>
      </c>
      <c r="E12" s="57"/>
      <c r="F12" s="42" t="s">
        <v>121</v>
      </c>
      <c r="G12" s="44" t="str">
        <f t="shared" si="1"/>
        <v>Ya</v>
      </c>
      <c r="H12" s="46">
        <f t="shared" si="2"/>
        <v>10000</v>
      </c>
      <c r="I12" s="59" t="s">
        <v>125</v>
      </c>
    </row>
    <row r="13" ht="22.5" customHeight="1">
      <c r="A13" s="51">
        <v>46268.0</v>
      </c>
      <c r="B13" s="52" t="s">
        <v>117</v>
      </c>
      <c r="C13" s="54" t="s">
        <v>28</v>
      </c>
      <c r="D13" s="42" t="s">
        <v>114</v>
      </c>
      <c r="E13" s="58">
        <v>0.5479166666666667</v>
      </c>
      <c r="F13" s="42" t="s">
        <v>121</v>
      </c>
      <c r="G13" s="44" t="str">
        <f t="shared" si="1"/>
        <v>Ya</v>
      </c>
      <c r="H13" s="46">
        <f t="shared" si="2"/>
        <v>5000</v>
      </c>
      <c r="I13" s="59" t="s">
        <v>125</v>
      </c>
    </row>
    <row r="14" ht="22.5" customHeight="1">
      <c r="A14" s="51">
        <v>46268.0</v>
      </c>
      <c r="B14" s="52" t="s">
        <v>117</v>
      </c>
      <c r="C14" s="54" t="s">
        <v>51</v>
      </c>
      <c r="D14" s="42" t="s">
        <v>114</v>
      </c>
      <c r="E14" s="55">
        <v>0.5208333333333334</v>
      </c>
      <c r="F14" s="42" t="s">
        <v>112</v>
      </c>
      <c r="G14" s="44" t="str">
        <f t="shared" si="1"/>
        <v>Tidak</v>
      </c>
      <c r="H14" s="46">
        <f t="shared" si="2"/>
        <v>0</v>
      </c>
      <c r="I14" s="47"/>
    </row>
    <row r="15" ht="22.5" customHeight="1">
      <c r="A15" s="51">
        <v>46268.0</v>
      </c>
      <c r="B15" s="52" t="s">
        <v>117</v>
      </c>
      <c r="C15" s="54" t="s">
        <v>24</v>
      </c>
      <c r="D15" s="42" t="s">
        <v>111</v>
      </c>
      <c r="E15" s="57"/>
      <c r="F15" s="42" t="s">
        <v>112</v>
      </c>
      <c r="G15" s="44" t="str">
        <f t="shared" si="1"/>
        <v>Tidak</v>
      </c>
      <c r="H15" s="46">
        <f t="shared" si="2"/>
        <v>0</v>
      </c>
      <c r="I15" s="47"/>
    </row>
    <row r="16" ht="15.75" customHeight="1">
      <c r="A16" s="38">
        <v>46275.0</v>
      </c>
      <c r="B16" s="39" t="s">
        <v>110</v>
      </c>
      <c r="C16" s="54" t="s">
        <v>13</v>
      </c>
      <c r="D16" s="49"/>
      <c r="E16" s="57"/>
      <c r="F16" s="49"/>
      <c r="G16" s="44" t="str">
        <f t="shared" si="1"/>
        <v/>
      </c>
      <c r="H16" s="46">
        <f t="shared" si="2"/>
        <v>0</v>
      </c>
      <c r="I16" s="47"/>
    </row>
    <row r="17" ht="15.75" customHeight="1">
      <c r="A17" s="38">
        <v>46275.0</v>
      </c>
      <c r="B17" s="39" t="s">
        <v>110</v>
      </c>
      <c r="C17" s="54" t="s">
        <v>17</v>
      </c>
      <c r="D17" s="49"/>
      <c r="E17" s="57"/>
      <c r="F17" s="49"/>
      <c r="G17" s="44" t="str">
        <f t="shared" si="1"/>
        <v/>
      </c>
      <c r="H17" s="46">
        <f t="shared" si="2"/>
        <v>0</v>
      </c>
      <c r="I17" s="47"/>
    </row>
    <row r="18" ht="15.75" customHeight="1">
      <c r="A18" s="38">
        <v>46275.0</v>
      </c>
      <c r="B18" s="39" t="s">
        <v>110</v>
      </c>
      <c r="C18" s="54" t="s">
        <v>39</v>
      </c>
      <c r="D18" s="49"/>
      <c r="E18" s="57"/>
      <c r="F18" s="49"/>
      <c r="G18" s="44" t="str">
        <f t="shared" si="1"/>
        <v/>
      </c>
      <c r="H18" s="46">
        <f t="shared" si="2"/>
        <v>0</v>
      </c>
      <c r="I18" s="47"/>
    </row>
    <row r="19" ht="15.75" customHeight="1">
      <c r="A19" s="38">
        <v>46275.0</v>
      </c>
      <c r="B19" s="39" t="s">
        <v>110</v>
      </c>
      <c r="C19" s="54" t="s">
        <v>54</v>
      </c>
      <c r="D19" s="49"/>
      <c r="E19" s="57"/>
      <c r="F19" s="49"/>
      <c r="G19" s="44" t="str">
        <f t="shared" si="1"/>
        <v/>
      </c>
      <c r="H19" s="46">
        <f t="shared" si="2"/>
        <v>0</v>
      </c>
      <c r="I19" s="47"/>
    </row>
    <row r="20" ht="15.75" customHeight="1">
      <c r="A20" s="51">
        <v>46275.0</v>
      </c>
      <c r="B20" s="52" t="s">
        <v>117</v>
      </c>
      <c r="C20" s="54" t="s">
        <v>21</v>
      </c>
      <c r="D20" s="49"/>
      <c r="E20" s="57"/>
      <c r="F20" s="49"/>
      <c r="G20" s="44" t="str">
        <f t="shared" si="1"/>
        <v/>
      </c>
      <c r="H20" s="46">
        <f t="shared" si="2"/>
        <v>0</v>
      </c>
      <c r="I20" s="47"/>
    </row>
    <row r="21" ht="15.75" customHeight="1">
      <c r="A21" s="51">
        <v>46275.0</v>
      </c>
      <c r="B21" s="52" t="s">
        <v>117</v>
      </c>
      <c r="C21" s="54" t="s">
        <v>107</v>
      </c>
      <c r="D21" s="49"/>
      <c r="E21" s="57"/>
      <c r="F21" s="49"/>
      <c r="G21" s="44" t="str">
        <f t="shared" si="1"/>
        <v/>
      </c>
      <c r="H21" s="46">
        <f t="shared" si="2"/>
        <v>0</v>
      </c>
      <c r="I21" s="47"/>
    </row>
    <row r="22" ht="15.75" customHeight="1">
      <c r="A22" s="51">
        <v>46275.0</v>
      </c>
      <c r="B22" s="52" t="s">
        <v>117</v>
      </c>
      <c r="C22" s="54" t="s">
        <v>28</v>
      </c>
      <c r="D22" s="49"/>
      <c r="E22" s="57"/>
      <c r="F22" s="49"/>
      <c r="G22" s="44" t="str">
        <f t="shared" si="1"/>
        <v/>
      </c>
      <c r="H22" s="46">
        <f t="shared" si="2"/>
        <v>0</v>
      </c>
      <c r="I22" s="47"/>
    </row>
    <row r="23" ht="15.75" customHeight="1">
      <c r="A23" s="51">
        <v>46275.0</v>
      </c>
      <c r="B23" s="52" t="s">
        <v>117</v>
      </c>
      <c r="C23" s="54" t="s">
        <v>51</v>
      </c>
      <c r="D23" s="49"/>
      <c r="E23" s="57"/>
      <c r="F23" s="49"/>
      <c r="G23" s="44" t="str">
        <f t="shared" si="1"/>
        <v/>
      </c>
      <c r="H23" s="46">
        <f t="shared" si="2"/>
        <v>0</v>
      </c>
      <c r="I23" s="47"/>
    </row>
    <row r="24" ht="15.75" customHeight="1">
      <c r="A24" s="51">
        <v>46275.0</v>
      </c>
      <c r="B24" s="52" t="s">
        <v>117</v>
      </c>
      <c r="C24" s="54" t="s">
        <v>24</v>
      </c>
      <c r="D24" s="49"/>
      <c r="E24" s="57"/>
      <c r="F24" s="49"/>
      <c r="G24" s="44" t="str">
        <f t="shared" si="1"/>
        <v/>
      </c>
      <c r="H24" s="46">
        <f t="shared" si="2"/>
        <v>0</v>
      </c>
      <c r="I24" s="47"/>
    </row>
    <row r="25" ht="15.75" customHeight="1">
      <c r="A25" s="38">
        <v>46282.0</v>
      </c>
      <c r="B25" s="39" t="s">
        <v>110</v>
      </c>
      <c r="C25" s="54" t="s">
        <v>13</v>
      </c>
      <c r="D25" s="49"/>
      <c r="E25" s="57"/>
      <c r="F25" s="49"/>
      <c r="G25" s="44" t="str">
        <f t="shared" si="1"/>
        <v/>
      </c>
      <c r="H25" s="46">
        <f t="shared" si="2"/>
        <v>0</v>
      </c>
      <c r="I25" s="47"/>
    </row>
    <row r="26" ht="15.75" customHeight="1">
      <c r="A26" s="38">
        <v>46282.0</v>
      </c>
      <c r="B26" s="39" t="s">
        <v>110</v>
      </c>
      <c r="C26" s="54" t="s">
        <v>17</v>
      </c>
      <c r="D26" s="49"/>
      <c r="E26" s="57"/>
      <c r="F26" s="49"/>
      <c r="G26" s="44" t="str">
        <f t="shared" si="1"/>
        <v/>
      </c>
      <c r="H26" s="46">
        <f t="shared" si="2"/>
        <v>0</v>
      </c>
      <c r="I26" s="47"/>
    </row>
    <row r="27" ht="15.75" customHeight="1">
      <c r="A27" s="38">
        <v>46282.0</v>
      </c>
      <c r="B27" s="39" t="s">
        <v>110</v>
      </c>
      <c r="C27" s="54" t="s">
        <v>39</v>
      </c>
      <c r="D27" s="49"/>
      <c r="E27" s="57"/>
      <c r="F27" s="49"/>
      <c r="G27" s="44" t="str">
        <f t="shared" si="1"/>
        <v/>
      </c>
      <c r="H27" s="46">
        <f t="shared" si="2"/>
        <v>0</v>
      </c>
      <c r="I27" s="47"/>
    </row>
    <row r="28" ht="15.75" customHeight="1">
      <c r="A28" s="38">
        <v>46282.0</v>
      </c>
      <c r="B28" s="39" t="s">
        <v>110</v>
      </c>
      <c r="C28" s="54" t="s">
        <v>54</v>
      </c>
      <c r="D28" s="49"/>
      <c r="E28" s="57"/>
      <c r="F28" s="49"/>
      <c r="G28" s="44" t="str">
        <f t="shared" si="1"/>
        <v/>
      </c>
      <c r="H28" s="46">
        <f t="shared" si="2"/>
        <v>0</v>
      </c>
      <c r="I28" s="47"/>
    </row>
    <row r="29" ht="15.75" customHeight="1">
      <c r="A29" s="51">
        <v>46282.0</v>
      </c>
      <c r="B29" s="52" t="s">
        <v>117</v>
      </c>
      <c r="C29" s="54" t="s">
        <v>21</v>
      </c>
      <c r="D29" s="49"/>
      <c r="E29" s="57"/>
      <c r="F29" s="49"/>
      <c r="G29" s="44" t="str">
        <f t="shared" si="1"/>
        <v/>
      </c>
      <c r="H29" s="46">
        <f t="shared" si="2"/>
        <v>0</v>
      </c>
      <c r="I29" s="47"/>
    </row>
    <row r="30" ht="15.75" customHeight="1">
      <c r="A30" s="51">
        <v>46282.0</v>
      </c>
      <c r="B30" s="52" t="s">
        <v>117</v>
      </c>
      <c r="C30" s="54" t="s">
        <v>107</v>
      </c>
      <c r="D30" s="49"/>
      <c r="E30" s="57"/>
      <c r="F30" s="49"/>
      <c r="G30" s="44" t="str">
        <f t="shared" si="1"/>
        <v/>
      </c>
      <c r="H30" s="46">
        <f t="shared" si="2"/>
        <v>0</v>
      </c>
      <c r="I30" s="47"/>
    </row>
    <row r="31" ht="15.75" customHeight="1">
      <c r="A31" s="51">
        <v>46282.0</v>
      </c>
      <c r="B31" s="52" t="s">
        <v>117</v>
      </c>
      <c r="C31" s="54" t="s">
        <v>28</v>
      </c>
      <c r="D31" s="49"/>
      <c r="E31" s="57"/>
      <c r="F31" s="49"/>
      <c r="G31" s="44" t="str">
        <f t="shared" si="1"/>
        <v/>
      </c>
      <c r="H31" s="46">
        <f t="shared" si="2"/>
        <v>0</v>
      </c>
      <c r="I31" s="47"/>
    </row>
    <row r="32" ht="15.75" customHeight="1">
      <c r="A32" s="51">
        <v>46282.0</v>
      </c>
      <c r="B32" s="52" t="s">
        <v>117</v>
      </c>
      <c r="C32" s="54" t="s">
        <v>51</v>
      </c>
      <c r="D32" s="49"/>
      <c r="E32" s="57"/>
      <c r="F32" s="49"/>
      <c r="G32" s="44" t="str">
        <f t="shared" si="1"/>
        <v/>
      </c>
      <c r="H32" s="46">
        <f t="shared" si="2"/>
        <v>0</v>
      </c>
      <c r="I32" s="47"/>
    </row>
    <row r="33" ht="15.75" customHeight="1">
      <c r="A33" s="51">
        <v>46282.0</v>
      </c>
      <c r="B33" s="52" t="s">
        <v>117</v>
      </c>
      <c r="C33" s="54" t="s">
        <v>24</v>
      </c>
      <c r="D33" s="49"/>
      <c r="E33" s="57"/>
      <c r="F33" s="49"/>
      <c r="G33" s="44" t="str">
        <f t="shared" si="1"/>
        <v/>
      </c>
      <c r="H33" s="46">
        <f t="shared" si="2"/>
        <v>0</v>
      </c>
      <c r="I33" s="47"/>
    </row>
    <row r="34" ht="15.75" customHeight="1">
      <c r="A34" s="38">
        <v>46289.0</v>
      </c>
      <c r="B34" s="39" t="s">
        <v>110</v>
      </c>
      <c r="C34" s="54" t="s">
        <v>13</v>
      </c>
      <c r="D34" s="49"/>
      <c r="E34" s="57"/>
      <c r="F34" s="49"/>
      <c r="G34" s="44" t="str">
        <f t="shared" si="1"/>
        <v/>
      </c>
      <c r="H34" s="46">
        <f t="shared" si="2"/>
        <v>0</v>
      </c>
      <c r="I34" s="47"/>
    </row>
    <row r="35" ht="15.75" customHeight="1">
      <c r="A35" s="38">
        <v>46289.0</v>
      </c>
      <c r="B35" s="39" t="s">
        <v>110</v>
      </c>
      <c r="C35" s="54" t="s">
        <v>17</v>
      </c>
      <c r="D35" s="49"/>
      <c r="E35" s="57"/>
      <c r="F35" s="49"/>
      <c r="G35" s="44" t="str">
        <f t="shared" si="1"/>
        <v/>
      </c>
      <c r="H35" s="46">
        <f t="shared" si="2"/>
        <v>0</v>
      </c>
      <c r="I35" s="47"/>
    </row>
    <row r="36" ht="15.75" customHeight="1">
      <c r="A36" s="38">
        <v>46289.0</v>
      </c>
      <c r="B36" s="39" t="s">
        <v>110</v>
      </c>
      <c r="C36" s="54" t="s">
        <v>39</v>
      </c>
      <c r="D36" s="49"/>
      <c r="E36" s="57"/>
      <c r="F36" s="49"/>
      <c r="G36" s="44" t="str">
        <f t="shared" si="1"/>
        <v/>
      </c>
      <c r="H36" s="46">
        <f t="shared" si="2"/>
        <v>0</v>
      </c>
      <c r="I36" s="47"/>
    </row>
    <row r="37" ht="15.75" customHeight="1">
      <c r="A37" s="38">
        <v>46289.0</v>
      </c>
      <c r="B37" s="39" t="s">
        <v>110</v>
      </c>
      <c r="C37" s="54" t="s">
        <v>54</v>
      </c>
      <c r="D37" s="49"/>
      <c r="E37" s="57"/>
      <c r="F37" s="49"/>
      <c r="G37" s="44" t="str">
        <f t="shared" si="1"/>
        <v/>
      </c>
      <c r="H37" s="46">
        <f t="shared" si="2"/>
        <v>0</v>
      </c>
      <c r="I37" s="47"/>
    </row>
    <row r="38" ht="15.75" customHeight="1">
      <c r="A38" s="51">
        <v>46289.0</v>
      </c>
      <c r="B38" s="52" t="s">
        <v>117</v>
      </c>
      <c r="C38" s="54" t="s">
        <v>21</v>
      </c>
      <c r="D38" s="49"/>
      <c r="E38" s="57"/>
      <c r="F38" s="49"/>
      <c r="G38" s="44" t="str">
        <f t="shared" si="1"/>
        <v/>
      </c>
      <c r="H38" s="46">
        <f t="shared" si="2"/>
        <v>0</v>
      </c>
      <c r="I38" s="47"/>
    </row>
    <row r="39" ht="15.75" customHeight="1">
      <c r="A39" s="51">
        <v>46289.0</v>
      </c>
      <c r="B39" s="52" t="s">
        <v>117</v>
      </c>
      <c r="C39" s="54" t="s">
        <v>107</v>
      </c>
      <c r="D39" s="49"/>
      <c r="E39" s="57"/>
      <c r="F39" s="49"/>
      <c r="G39" s="44" t="str">
        <f t="shared" si="1"/>
        <v/>
      </c>
      <c r="H39" s="46">
        <f t="shared" si="2"/>
        <v>0</v>
      </c>
      <c r="I39" s="47"/>
    </row>
    <row r="40" ht="15.75" customHeight="1">
      <c r="A40" s="51">
        <v>46289.0</v>
      </c>
      <c r="B40" s="52" t="s">
        <v>117</v>
      </c>
      <c r="C40" s="54" t="s">
        <v>28</v>
      </c>
      <c r="D40" s="49"/>
      <c r="E40" s="57"/>
      <c r="F40" s="49"/>
      <c r="G40" s="44" t="str">
        <f t="shared" si="1"/>
        <v/>
      </c>
      <c r="H40" s="46">
        <f t="shared" si="2"/>
        <v>0</v>
      </c>
      <c r="I40" s="47"/>
    </row>
    <row r="41" ht="15.75" customHeight="1">
      <c r="A41" s="51">
        <v>46289.0</v>
      </c>
      <c r="B41" s="52" t="s">
        <v>117</v>
      </c>
      <c r="C41" s="54" t="s">
        <v>51</v>
      </c>
      <c r="D41" s="49"/>
      <c r="E41" s="57"/>
      <c r="F41" s="49"/>
      <c r="G41" s="44" t="str">
        <f t="shared" si="1"/>
        <v/>
      </c>
      <c r="H41" s="46">
        <f t="shared" si="2"/>
        <v>0</v>
      </c>
      <c r="I41" s="47"/>
    </row>
    <row r="42" ht="15.75" customHeight="1">
      <c r="A42" s="51">
        <v>46289.0</v>
      </c>
      <c r="B42" s="52" t="s">
        <v>117</v>
      </c>
      <c r="C42" s="54" t="s">
        <v>24</v>
      </c>
      <c r="D42" s="49"/>
      <c r="E42" s="57"/>
      <c r="F42" s="49"/>
      <c r="G42" s="44" t="str">
        <f t="shared" si="1"/>
        <v/>
      </c>
      <c r="H42" s="46">
        <f t="shared" si="2"/>
        <v>0</v>
      </c>
      <c r="I42" s="47"/>
    </row>
    <row r="43" ht="15.75" customHeight="1">
      <c r="A43" s="38">
        <v>46296.0</v>
      </c>
      <c r="B43" s="39" t="s">
        <v>110</v>
      </c>
      <c r="C43" s="54" t="s">
        <v>13</v>
      </c>
      <c r="D43" s="49"/>
      <c r="E43" s="57"/>
      <c r="F43" s="49"/>
      <c r="G43" s="44" t="str">
        <f t="shared" si="1"/>
        <v/>
      </c>
      <c r="H43" s="46">
        <f t="shared" si="2"/>
        <v>0</v>
      </c>
      <c r="I43" s="47"/>
    </row>
    <row r="44" ht="15.75" customHeight="1">
      <c r="A44" s="38">
        <v>46296.0</v>
      </c>
      <c r="B44" s="39" t="s">
        <v>110</v>
      </c>
      <c r="C44" s="54" t="s">
        <v>17</v>
      </c>
      <c r="D44" s="49"/>
      <c r="E44" s="57"/>
      <c r="F44" s="49"/>
      <c r="G44" s="44" t="str">
        <f t="shared" si="1"/>
        <v/>
      </c>
      <c r="H44" s="46">
        <f t="shared" si="2"/>
        <v>0</v>
      </c>
      <c r="I44" s="47"/>
    </row>
    <row r="45" ht="15.75" customHeight="1">
      <c r="A45" s="38">
        <v>46296.0</v>
      </c>
      <c r="B45" s="39" t="s">
        <v>110</v>
      </c>
      <c r="C45" s="54" t="s">
        <v>39</v>
      </c>
      <c r="D45" s="49"/>
      <c r="E45" s="57"/>
      <c r="F45" s="49"/>
      <c r="G45" s="44" t="str">
        <f t="shared" si="1"/>
        <v/>
      </c>
      <c r="H45" s="46">
        <f t="shared" si="2"/>
        <v>0</v>
      </c>
      <c r="I45" s="47"/>
    </row>
    <row r="46" ht="15.75" customHeight="1">
      <c r="A46" s="38">
        <v>46296.0</v>
      </c>
      <c r="B46" s="39" t="s">
        <v>110</v>
      </c>
      <c r="C46" s="54" t="s">
        <v>54</v>
      </c>
      <c r="D46" s="49"/>
      <c r="E46" s="57"/>
      <c r="F46" s="49"/>
      <c r="G46" s="44" t="str">
        <f t="shared" si="1"/>
        <v/>
      </c>
      <c r="H46" s="46">
        <f t="shared" si="2"/>
        <v>0</v>
      </c>
      <c r="I46" s="47"/>
    </row>
    <row r="47" ht="15.75" customHeight="1">
      <c r="A47" s="51">
        <v>46296.0</v>
      </c>
      <c r="B47" s="52" t="s">
        <v>117</v>
      </c>
      <c r="C47" s="54" t="s">
        <v>21</v>
      </c>
      <c r="D47" s="49"/>
      <c r="E47" s="57"/>
      <c r="F47" s="49"/>
      <c r="G47" s="44" t="str">
        <f t="shared" si="1"/>
        <v/>
      </c>
      <c r="H47" s="46">
        <f t="shared" si="2"/>
        <v>0</v>
      </c>
      <c r="I47" s="47"/>
    </row>
    <row r="48" ht="15.75" customHeight="1">
      <c r="A48" s="51">
        <v>46296.0</v>
      </c>
      <c r="B48" s="52" t="s">
        <v>117</v>
      </c>
      <c r="C48" s="54" t="s">
        <v>107</v>
      </c>
      <c r="D48" s="49"/>
      <c r="E48" s="57"/>
      <c r="F48" s="49"/>
      <c r="G48" s="44" t="str">
        <f t="shared" si="1"/>
        <v/>
      </c>
      <c r="H48" s="46">
        <f t="shared" si="2"/>
        <v>0</v>
      </c>
      <c r="I48" s="47"/>
    </row>
    <row r="49" ht="15.75" customHeight="1">
      <c r="A49" s="51">
        <v>46296.0</v>
      </c>
      <c r="B49" s="52" t="s">
        <v>117</v>
      </c>
      <c r="C49" s="54" t="s">
        <v>28</v>
      </c>
      <c r="D49" s="49"/>
      <c r="E49" s="57"/>
      <c r="F49" s="49"/>
      <c r="G49" s="44" t="str">
        <f t="shared" si="1"/>
        <v/>
      </c>
      <c r="H49" s="46">
        <f t="shared" si="2"/>
        <v>0</v>
      </c>
      <c r="I49" s="47"/>
    </row>
    <row r="50" ht="15.75" customHeight="1">
      <c r="A50" s="51">
        <v>46296.0</v>
      </c>
      <c r="B50" s="52" t="s">
        <v>117</v>
      </c>
      <c r="C50" s="54" t="s">
        <v>51</v>
      </c>
      <c r="D50" s="49"/>
      <c r="E50" s="57"/>
      <c r="F50" s="49"/>
      <c r="G50" s="44" t="str">
        <f t="shared" si="1"/>
        <v/>
      </c>
      <c r="H50" s="46">
        <f t="shared" si="2"/>
        <v>0</v>
      </c>
      <c r="I50" s="47"/>
    </row>
    <row r="51" ht="15.75" customHeight="1">
      <c r="A51" s="51">
        <v>46296.0</v>
      </c>
      <c r="B51" s="52" t="s">
        <v>117</v>
      </c>
      <c r="C51" s="54" t="s">
        <v>24</v>
      </c>
      <c r="D51" s="49"/>
      <c r="E51" s="57"/>
      <c r="F51" s="49"/>
      <c r="G51" s="44" t="str">
        <f t="shared" si="1"/>
        <v/>
      </c>
      <c r="H51" s="46">
        <f t="shared" si="2"/>
        <v>0</v>
      </c>
      <c r="I51" s="47"/>
    </row>
    <row r="52" ht="15.75" customHeight="1">
      <c r="A52" s="38">
        <v>46303.0</v>
      </c>
      <c r="B52" s="39" t="s">
        <v>110</v>
      </c>
      <c r="C52" s="54" t="s">
        <v>13</v>
      </c>
      <c r="D52" s="49"/>
      <c r="E52" s="57"/>
      <c r="F52" s="49"/>
      <c r="G52" s="44" t="str">
        <f t="shared" si="1"/>
        <v/>
      </c>
      <c r="H52" s="46">
        <f t="shared" si="2"/>
        <v>0</v>
      </c>
      <c r="I52" s="47"/>
    </row>
    <row r="53" ht="15.75" customHeight="1">
      <c r="A53" s="38">
        <v>46303.0</v>
      </c>
      <c r="B53" s="39" t="s">
        <v>110</v>
      </c>
      <c r="C53" s="54" t="s">
        <v>17</v>
      </c>
      <c r="D53" s="49"/>
      <c r="E53" s="57"/>
      <c r="F53" s="49"/>
      <c r="G53" s="44" t="str">
        <f t="shared" si="1"/>
        <v/>
      </c>
      <c r="H53" s="46">
        <f t="shared" si="2"/>
        <v>0</v>
      </c>
      <c r="I53" s="47"/>
    </row>
    <row r="54" ht="15.75" customHeight="1">
      <c r="A54" s="38">
        <v>46303.0</v>
      </c>
      <c r="B54" s="39" t="s">
        <v>110</v>
      </c>
      <c r="C54" s="54" t="s">
        <v>39</v>
      </c>
      <c r="D54" s="49"/>
      <c r="E54" s="57"/>
      <c r="F54" s="49"/>
      <c r="G54" s="44" t="str">
        <f t="shared" si="1"/>
        <v/>
      </c>
      <c r="H54" s="46">
        <f t="shared" si="2"/>
        <v>0</v>
      </c>
      <c r="I54" s="47"/>
    </row>
    <row r="55" ht="15.75" customHeight="1">
      <c r="A55" s="38">
        <v>46303.0</v>
      </c>
      <c r="B55" s="39" t="s">
        <v>110</v>
      </c>
      <c r="C55" s="54" t="s">
        <v>54</v>
      </c>
      <c r="D55" s="49"/>
      <c r="E55" s="57"/>
      <c r="F55" s="49"/>
      <c r="G55" s="44" t="str">
        <f t="shared" si="1"/>
        <v/>
      </c>
      <c r="H55" s="46">
        <f t="shared" si="2"/>
        <v>0</v>
      </c>
      <c r="I55" s="47"/>
    </row>
    <row r="56" ht="15.75" customHeight="1">
      <c r="A56" s="51">
        <v>46303.0</v>
      </c>
      <c r="B56" s="52" t="s">
        <v>117</v>
      </c>
      <c r="C56" s="54" t="s">
        <v>21</v>
      </c>
      <c r="D56" s="49"/>
      <c r="E56" s="57"/>
      <c r="F56" s="49"/>
      <c r="G56" s="44" t="str">
        <f t="shared" si="1"/>
        <v/>
      </c>
      <c r="H56" s="46">
        <f t="shared" si="2"/>
        <v>0</v>
      </c>
      <c r="I56" s="47"/>
    </row>
    <row r="57" ht="15.75" customHeight="1">
      <c r="A57" s="51">
        <v>46303.0</v>
      </c>
      <c r="B57" s="52" t="s">
        <v>117</v>
      </c>
      <c r="C57" s="54" t="s">
        <v>107</v>
      </c>
      <c r="D57" s="49"/>
      <c r="E57" s="57"/>
      <c r="F57" s="49"/>
      <c r="G57" s="44" t="str">
        <f t="shared" si="1"/>
        <v/>
      </c>
      <c r="H57" s="46">
        <f t="shared" si="2"/>
        <v>0</v>
      </c>
      <c r="I57" s="47"/>
    </row>
    <row r="58" ht="15.75" customHeight="1">
      <c r="A58" s="51">
        <v>46303.0</v>
      </c>
      <c r="B58" s="52" t="s">
        <v>117</v>
      </c>
      <c r="C58" s="54" t="s">
        <v>28</v>
      </c>
      <c r="D58" s="49"/>
      <c r="E58" s="57"/>
      <c r="F58" s="49"/>
      <c r="G58" s="44" t="str">
        <f t="shared" si="1"/>
        <v/>
      </c>
      <c r="H58" s="46">
        <f t="shared" si="2"/>
        <v>0</v>
      </c>
      <c r="I58" s="47"/>
    </row>
    <row r="59" ht="15.75" customHeight="1">
      <c r="A59" s="51">
        <v>46303.0</v>
      </c>
      <c r="B59" s="52" t="s">
        <v>117</v>
      </c>
      <c r="C59" s="54" t="s">
        <v>51</v>
      </c>
      <c r="D59" s="49"/>
      <c r="E59" s="57"/>
      <c r="F59" s="49"/>
      <c r="G59" s="44" t="str">
        <f t="shared" si="1"/>
        <v/>
      </c>
      <c r="H59" s="46">
        <f t="shared" si="2"/>
        <v>0</v>
      </c>
      <c r="I59" s="47"/>
    </row>
    <row r="60" ht="15.75" customHeight="1">
      <c r="A60" s="51">
        <v>46303.0</v>
      </c>
      <c r="B60" s="52" t="s">
        <v>117</v>
      </c>
      <c r="C60" s="54" t="s">
        <v>24</v>
      </c>
      <c r="D60" s="49"/>
      <c r="E60" s="57"/>
      <c r="F60" s="49"/>
      <c r="G60" s="44" t="str">
        <f t="shared" si="1"/>
        <v/>
      </c>
      <c r="H60" s="46">
        <f t="shared" si="2"/>
        <v>0</v>
      </c>
      <c r="I60" s="47"/>
    </row>
    <row r="61" ht="15.75" customHeight="1">
      <c r="A61" s="38">
        <v>46310.0</v>
      </c>
      <c r="B61" s="39" t="s">
        <v>110</v>
      </c>
      <c r="C61" s="54" t="s">
        <v>13</v>
      </c>
      <c r="D61" s="49"/>
      <c r="E61" s="57"/>
      <c r="F61" s="49"/>
      <c r="G61" s="44" t="str">
        <f t="shared" si="1"/>
        <v/>
      </c>
      <c r="H61" s="46">
        <f t="shared" si="2"/>
        <v>0</v>
      </c>
      <c r="I61" s="47"/>
    </row>
    <row r="62" ht="15.75" customHeight="1">
      <c r="A62" s="38">
        <v>46310.0</v>
      </c>
      <c r="B62" s="39" t="s">
        <v>110</v>
      </c>
      <c r="C62" s="54" t="s">
        <v>17</v>
      </c>
      <c r="D62" s="49"/>
      <c r="E62" s="57"/>
      <c r="F62" s="49"/>
      <c r="G62" s="44" t="str">
        <f t="shared" si="1"/>
        <v/>
      </c>
      <c r="H62" s="46">
        <f t="shared" si="2"/>
        <v>0</v>
      </c>
      <c r="I62" s="47"/>
    </row>
    <row r="63" ht="15.75" customHeight="1">
      <c r="A63" s="38">
        <v>46310.0</v>
      </c>
      <c r="B63" s="39" t="s">
        <v>110</v>
      </c>
      <c r="C63" s="54" t="s">
        <v>39</v>
      </c>
      <c r="D63" s="49"/>
      <c r="E63" s="57"/>
      <c r="F63" s="49"/>
      <c r="G63" s="44" t="str">
        <f t="shared" si="1"/>
        <v/>
      </c>
      <c r="H63" s="46">
        <f t="shared" si="2"/>
        <v>0</v>
      </c>
      <c r="I63" s="47"/>
    </row>
    <row r="64" ht="15.75" customHeight="1">
      <c r="A64" s="38">
        <v>46310.0</v>
      </c>
      <c r="B64" s="39" t="s">
        <v>110</v>
      </c>
      <c r="C64" s="54" t="s">
        <v>54</v>
      </c>
      <c r="D64" s="49"/>
      <c r="E64" s="57"/>
      <c r="F64" s="49"/>
      <c r="G64" s="44" t="str">
        <f t="shared" si="1"/>
        <v/>
      </c>
      <c r="H64" s="46">
        <f t="shared" si="2"/>
        <v>0</v>
      </c>
      <c r="I64" s="47"/>
    </row>
    <row r="65" ht="15.75" customHeight="1">
      <c r="A65" s="51">
        <v>46310.0</v>
      </c>
      <c r="B65" s="52" t="s">
        <v>117</v>
      </c>
      <c r="C65" s="54" t="s">
        <v>21</v>
      </c>
      <c r="D65" s="49"/>
      <c r="E65" s="57"/>
      <c r="F65" s="49"/>
      <c r="G65" s="44" t="str">
        <f t="shared" si="1"/>
        <v/>
      </c>
      <c r="H65" s="46">
        <f t="shared" si="2"/>
        <v>0</v>
      </c>
      <c r="I65" s="47"/>
    </row>
    <row r="66" ht="15.75" customHeight="1">
      <c r="A66" s="51">
        <v>46310.0</v>
      </c>
      <c r="B66" s="52" t="s">
        <v>117</v>
      </c>
      <c r="C66" s="54" t="s">
        <v>107</v>
      </c>
      <c r="D66" s="49"/>
      <c r="E66" s="57"/>
      <c r="F66" s="49"/>
      <c r="G66" s="44" t="str">
        <f t="shared" si="1"/>
        <v/>
      </c>
      <c r="H66" s="46">
        <f t="shared" si="2"/>
        <v>0</v>
      </c>
      <c r="I66" s="47"/>
    </row>
    <row r="67" ht="15.75" customHeight="1">
      <c r="A67" s="51">
        <v>46310.0</v>
      </c>
      <c r="B67" s="52" t="s">
        <v>117</v>
      </c>
      <c r="C67" s="54" t="s">
        <v>28</v>
      </c>
      <c r="D67" s="49"/>
      <c r="E67" s="57"/>
      <c r="F67" s="49"/>
      <c r="G67" s="44" t="str">
        <f t="shared" si="1"/>
        <v/>
      </c>
      <c r="H67" s="46">
        <f t="shared" si="2"/>
        <v>0</v>
      </c>
      <c r="I67" s="47"/>
    </row>
    <row r="68" ht="15.75" customHeight="1">
      <c r="A68" s="51">
        <v>46310.0</v>
      </c>
      <c r="B68" s="52" t="s">
        <v>117</v>
      </c>
      <c r="C68" s="54" t="s">
        <v>51</v>
      </c>
      <c r="D68" s="49"/>
      <c r="E68" s="57"/>
      <c r="F68" s="49"/>
      <c r="G68" s="44" t="str">
        <f t="shared" si="1"/>
        <v/>
      </c>
      <c r="H68" s="46">
        <f t="shared" si="2"/>
        <v>0</v>
      </c>
      <c r="I68" s="47"/>
    </row>
    <row r="69" ht="15.75" customHeight="1">
      <c r="A69" s="51">
        <v>46310.0</v>
      </c>
      <c r="B69" s="52" t="s">
        <v>117</v>
      </c>
      <c r="C69" s="54" t="s">
        <v>24</v>
      </c>
      <c r="D69" s="49"/>
      <c r="E69" s="57"/>
      <c r="F69" s="49"/>
      <c r="G69" s="44" t="str">
        <f t="shared" si="1"/>
        <v/>
      </c>
      <c r="H69" s="46">
        <f t="shared" si="2"/>
        <v>0</v>
      </c>
      <c r="I69" s="47"/>
    </row>
    <row r="70" ht="15.75" customHeight="1">
      <c r="A70" s="38">
        <v>46317.0</v>
      </c>
      <c r="B70" s="39" t="s">
        <v>110</v>
      </c>
      <c r="C70" s="54" t="s">
        <v>13</v>
      </c>
      <c r="D70" s="49"/>
      <c r="E70" s="57"/>
      <c r="F70" s="49"/>
      <c r="G70" s="44" t="str">
        <f t="shared" si="1"/>
        <v/>
      </c>
      <c r="H70" s="46">
        <f t="shared" si="2"/>
        <v>0</v>
      </c>
      <c r="I70" s="47"/>
    </row>
    <row r="71" ht="15.75" customHeight="1">
      <c r="A71" s="38">
        <v>46317.0</v>
      </c>
      <c r="B71" s="39" t="s">
        <v>110</v>
      </c>
      <c r="C71" s="54" t="s">
        <v>17</v>
      </c>
      <c r="D71" s="49"/>
      <c r="E71" s="57"/>
      <c r="F71" s="49"/>
      <c r="G71" s="44" t="str">
        <f t="shared" si="1"/>
        <v/>
      </c>
      <c r="H71" s="46">
        <f t="shared" si="2"/>
        <v>0</v>
      </c>
      <c r="I71" s="47"/>
    </row>
    <row r="72" ht="15.75" customHeight="1">
      <c r="A72" s="38">
        <v>46317.0</v>
      </c>
      <c r="B72" s="39" t="s">
        <v>110</v>
      </c>
      <c r="C72" s="54" t="s">
        <v>39</v>
      </c>
      <c r="D72" s="49"/>
      <c r="E72" s="57"/>
      <c r="F72" s="49"/>
      <c r="G72" s="44" t="str">
        <f t="shared" si="1"/>
        <v/>
      </c>
      <c r="H72" s="46">
        <f t="shared" si="2"/>
        <v>0</v>
      </c>
      <c r="I72" s="47"/>
    </row>
    <row r="73" ht="15.75" customHeight="1">
      <c r="A73" s="38">
        <v>46317.0</v>
      </c>
      <c r="B73" s="39" t="s">
        <v>110</v>
      </c>
      <c r="C73" s="54" t="s">
        <v>54</v>
      </c>
      <c r="D73" s="49"/>
      <c r="E73" s="57"/>
      <c r="F73" s="49"/>
      <c r="G73" s="44" t="str">
        <f t="shared" si="1"/>
        <v/>
      </c>
      <c r="H73" s="46">
        <f t="shared" si="2"/>
        <v>0</v>
      </c>
      <c r="I73" s="47"/>
    </row>
    <row r="74" ht="15.75" customHeight="1">
      <c r="A74" s="51">
        <v>46317.0</v>
      </c>
      <c r="B74" s="52" t="s">
        <v>117</v>
      </c>
      <c r="C74" s="54" t="s">
        <v>21</v>
      </c>
      <c r="D74" s="49"/>
      <c r="E74" s="57"/>
      <c r="F74" s="49"/>
      <c r="G74" s="44" t="str">
        <f t="shared" si="1"/>
        <v/>
      </c>
      <c r="H74" s="46">
        <f t="shared" si="2"/>
        <v>0</v>
      </c>
      <c r="I74" s="47"/>
    </row>
    <row r="75" ht="15.75" customHeight="1">
      <c r="A75" s="51">
        <v>46317.0</v>
      </c>
      <c r="B75" s="52" t="s">
        <v>117</v>
      </c>
      <c r="C75" s="54" t="s">
        <v>107</v>
      </c>
      <c r="D75" s="49"/>
      <c r="E75" s="57"/>
      <c r="F75" s="49"/>
      <c r="G75" s="44" t="str">
        <f t="shared" si="1"/>
        <v/>
      </c>
      <c r="H75" s="46">
        <f t="shared" si="2"/>
        <v>0</v>
      </c>
      <c r="I75" s="47"/>
    </row>
    <row r="76" ht="15.75" customHeight="1">
      <c r="A76" s="51">
        <v>46317.0</v>
      </c>
      <c r="B76" s="52" t="s">
        <v>117</v>
      </c>
      <c r="C76" s="54" t="s">
        <v>28</v>
      </c>
      <c r="D76" s="49"/>
      <c r="E76" s="57"/>
      <c r="F76" s="49"/>
      <c r="G76" s="44" t="str">
        <f t="shared" si="1"/>
        <v/>
      </c>
      <c r="H76" s="46">
        <f t="shared" si="2"/>
        <v>0</v>
      </c>
      <c r="I76" s="47"/>
    </row>
    <row r="77" ht="15.75" customHeight="1">
      <c r="A77" s="51">
        <v>46317.0</v>
      </c>
      <c r="B77" s="52" t="s">
        <v>117</v>
      </c>
      <c r="C77" s="54" t="s">
        <v>51</v>
      </c>
      <c r="D77" s="49"/>
      <c r="E77" s="57"/>
      <c r="F77" s="49"/>
      <c r="G77" s="44" t="str">
        <f t="shared" si="1"/>
        <v/>
      </c>
      <c r="H77" s="46">
        <f t="shared" si="2"/>
        <v>0</v>
      </c>
      <c r="I77" s="47"/>
    </row>
    <row r="78" ht="15.75" customHeight="1">
      <c r="A78" s="51">
        <v>46317.0</v>
      </c>
      <c r="B78" s="52" t="s">
        <v>117</v>
      </c>
      <c r="C78" s="54" t="s">
        <v>24</v>
      </c>
      <c r="D78" s="49"/>
      <c r="E78" s="57"/>
      <c r="F78" s="49"/>
      <c r="G78" s="44" t="str">
        <f t="shared" si="1"/>
        <v/>
      </c>
      <c r="H78" s="46">
        <f t="shared" si="2"/>
        <v>0</v>
      </c>
      <c r="I78" s="47"/>
    </row>
    <row r="79" ht="15.75" customHeight="1">
      <c r="A79" s="38">
        <v>46324.0</v>
      </c>
      <c r="B79" s="39" t="s">
        <v>110</v>
      </c>
      <c r="C79" s="54" t="s">
        <v>13</v>
      </c>
      <c r="D79" s="49"/>
      <c r="E79" s="57"/>
      <c r="F79" s="49"/>
      <c r="G79" s="44" t="str">
        <f t="shared" si="1"/>
        <v/>
      </c>
      <c r="H79" s="46">
        <f t="shared" si="2"/>
        <v>0</v>
      </c>
      <c r="I79" s="47"/>
    </row>
    <row r="80" ht="15.75" customHeight="1">
      <c r="A80" s="38">
        <v>46324.0</v>
      </c>
      <c r="B80" s="39" t="s">
        <v>110</v>
      </c>
      <c r="C80" s="54" t="s">
        <v>17</v>
      </c>
      <c r="D80" s="49"/>
      <c r="E80" s="57"/>
      <c r="F80" s="49"/>
      <c r="G80" s="44" t="str">
        <f t="shared" si="1"/>
        <v/>
      </c>
      <c r="H80" s="46">
        <f t="shared" si="2"/>
        <v>0</v>
      </c>
      <c r="I80" s="47"/>
    </row>
    <row r="81" ht="15.75" customHeight="1">
      <c r="A81" s="38">
        <v>46324.0</v>
      </c>
      <c r="B81" s="39" t="s">
        <v>110</v>
      </c>
      <c r="C81" s="54" t="s">
        <v>39</v>
      </c>
      <c r="D81" s="49"/>
      <c r="E81" s="57"/>
      <c r="F81" s="49"/>
      <c r="G81" s="44" t="str">
        <f t="shared" si="1"/>
        <v/>
      </c>
      <c r="H81" s="46">
        <f t="shared" si="2"/>
        <v>0</v>
      </c>
      <c r="I81" s="47"/>
    </row>
    <row r="82" ht="15.75" customHeight="1">
      <c r="A82" s="38">
        <v>46324.0</v>
      </c>
      <c r="B82" s="39" t="s">
        <v>110</v>
      </c>
      <c r="C82" s="54" t="s">
        <v>54</v>
      </c>
      <c r="D82" s="49"/>
      <c r="E82" s="57"/>
      <c r="F82" s="49"/>
      <c r="G82" s="44" t="str">
        <f t="shared" si="1"/>
        <v/>
      </c>
      <c r="H82" s="46">
        <f t="shared" si="2"/>
        <v>0</v>
      </c>
      <c r="I82" s="47"/>
    </row>
    <row r="83" ht="15.75" customHeight="1">
      <c r="A83" s="51">
        <v>46324.0</v>
      </c>
      <c r="B83" s="52" t="s">
        <v>117</v>
      </c>
      <c r="C83" s="54" t="s">
        <v>21</v>
      </c>
      <c r="D83" s="49"/>
      <c r="E83" s="57"/>
      <c r="F83" s="49"/>
      <c r="G83" s="44" t="str">
        <f t="shared" si="1"/>
        <v/>
      </c>
      <c r="H83" s="46">
        <f t="shared" si="2"/>
        <v>0</v>
      </c>
      <c r="I83" s="47"/>
    </row>
    <row r="84" ht="15.75" customHeight="1">
      <c r="A84" s="51">
        <v>46324.0</v>
      </c>
      <c r="B84" s="52" t="s">
        <v>117</v>
      </c>
      <c r="C84" s="54" t="s">
        <v>107</v>
      </c>
      <c r="D84" s="49"/>
      <c r="E84" s="57"/>
      <c r="F84" s="49"/>
      <c r="G84" s="44" t="str">
        <f t="shared" si="1"/>
        <v/>
      </c>
      <c r="H84" s="46">
        <f t="shared" si="2"/>
        <v>0</v>
      </c>
      <c r="I84" s="47"/>
    </row>
    <row r="85" ht="15.75" customHeight="1">
      <c r="A85" s="51">
        <v>46324.0</v>
      </c>
      <c r="B85" s="52" t="s">
        <v>117</v>
      </c>
      <c r="C85" s="54" t="s">
        <v>28</v>
      </c>
      <c r="D85" s="49"/>
      <c r="E85" s="57"/>
      <c r="F85" s="49"/>
      <c r="G85" s="44" t="str">
        <f t="shared" si="1"/>
        <v/>
      </c>
      <c r="H85" s="46">
        <f t="shared" si="2"/>
        <v>0</v>
      </c>
      <c r="I85" s="47"/>
    </row>
    <row r="86" ht="15.75" customHeight="1">
      <c r="A86" s="51">
        <v>46324.0</v>
      </c>
      <c r="B86" s="52" t="s">
        <v>117</v>
      </c>
      <c r="C86" s="54" t="s">
        <v>51</v>
      </c>
      <c r="D86" s="49"/>
      <c r="E86" s="57"/>
      <c r="F86" s="49"/>
      <c r="G86" s="44" t="str">
        <f t="shared" si="1"/>
        <v/>
      </c>
      <c r="H86" s="46">
        <f t="shared" si="2"/>
        <v>0</v>
      </c>
      <c r="I86" s="47"/>
    </row>
    <row r="87" ht="15.75" customHeight="1">
      <c r="A87" s="51">
        <v>46324.0</v>
      </c>
      <c r="B87" s="52" t="s">
        <v>117</v>
      </c>
      <c r="C87" s="54" t="s">
        <v>24</v>
      </c>
      <c r="D87" s="49"/>
      <c r="E87" s="57"/>
      <c r="F87" s="49"/>
      <c r="G87" s="44" t="str">
        <f t="shared" si="1"/>
        <v/>
      </c>
      <c r="H87" s="46">
        <f t="shared" si="2"/>
        <v>0</v>
      </c>
      <c r="I87" s="47"/>
    </row>
    <row r="88" ht="15.75" customHeight="1">
      <c r="A88" s="38">
        <v>46331.0</v>
      </c>
      <c r="B88" s="39" t="s">
        <v>110</v>
      </c>
      <c r="C88" s="54" t="s">
        <v>13</v>
      </c>
      <c r="D88" s="49"/>
      <c r="E88" s="57"/>
      <c r="F88" s="49"/>
      <c r="G88" s="44" t="str">
        <f t="shared" si="1"/>
        <v/>
      </c>
      <c r="H88" s="46">
        <f t="shared" si="2"/>
        <v>0</v>
      </c>
      <c r="I88" s="47"/>
    </row>
    <row r="89" ht="15.75" customHeight="1">
      <c r="A89" s="38">
        <v>46331.0</v>
      </c>
      <c r="B89" s="39" t="s">
        <v>110</v>
      </c>
      <c r="C89" s="54" t="s">
        <v>17</v>
      </c>
      <c r="D89" s="49"/>
      <c r="E89" s="57"/>
      <c r="F89" s="49"/>
      <c r="G89" s="44" t="str">
        <f t="shared" si="1"/>
        <v/>
      </c>
      <c r="H89" s="46">
        <f t="shared" si="2"/>
        <v>0</v>
      </c>
      <c r="I89" s="47"/>
    </row>
    <row r="90" ht="15.75" customHeight="1">
      <c r="A90" s="38">
        <v>46331.0</v>
      </c>
      <c r="B90" s="39" t="s">
        <v>110</v>
      </c>
      <c r="C90" s="54" t="s">
        <v>39</v>
      </c>
      <c r="D90" s="49"/>
      <c r="E90" s="57"/>
      <c r="F90" s="49"/>
      <c r="G90" s="44" t="str">
        <f t="shared" si="1"/>
        <v/>
      </c>
      <c r="H90" s="46">
        <f t="shared" si="2"/>
        <v>0</v>
      </c>
      <c r="I90" s="47"/>
    </row>
    <row r="91" ht="15.75" customHeight="1">
      <c r="A91" s="38">
        <v>46331.0</v>
      </c>
      <c r="B91" s="39" t="s">
        <v>110</v>
      </c>
      <c r="C91" s="54" t="s">
        <v>54</v>
      </c>
      <c r="D91" s="49"/>
      <c r="E91" s="57"/>
      <c r="F91" s="49"/>
      <c r="G91" s="44" t="str">
        <f t="shared" si="1"/>
        <v/>
      </c>
      <c r="H91" s="46">
        <f t="shared" si="2"/>
        <v>0</v>
      </c>
      <c r="I91" s="47"/>
    </row>
    <row r="92" ht="15.75" customHeight="1">
      <c r="A92" s="51">
        <v>46331.0</v>
      </c>
      <c r="B92" s="52" t="s">
        <v>117</v>
      </c>
      <c r="C92" s="54" t="s">
        <v>21</v>
      </c>
      <c r="D92" s="49"/>
      <c r="E92" s="57"/>
      <c r="F92" s="49"/>
      <c r="G92" s="44" t="str">
        <f t="shared" si="1"/>
        <v/>
      </c>
      <c r="H92" s="46">
        <f t="shared" si="2"/>
        <v>0</v>
      </c>
      <c r="I92" s="47"/>
    </row>
    <row r="93" ht="15.75" customHeight="1">
      <c r="A93" s="51">
        <v>46331.0</v>
      </c>
      <c r="B93" s="52" t="s">
        <v>117</v>
      </c>
      <c r="C93" s="54" t="s">
        <v>107</v>
      </c>
      <c r="D93" s="49"/>
      <c r="E93" s="57"/>
      <c r="F93" s="49"/>
      <c r="G93" s="44" t="str">
        <f t="shared" si="1"/>
        <v/>
      </c>
      <c r="H93" s="46">
        <f t="shared" si="2"/>
        <v>0</v>
      </c>
      <c r="I93" s="47"/>
    </row>
    <row r="94" ht="15.75" customHeight="1">
      <c r="A94" s="51">
        <v>46331.0</v>
      </c>
      <c r="B94" s="52" t="s">
        <v>117</v>
      </c>
      <c r="C94" s="54" t="s">
        <v>28</v>
      </c>
      <c r="D94" s="49"/>
      <c r="E94" s="57"/>
      <c r="F94" s="49"/>
      <c r="G94" s="44" t="str">
        <f t="shared" si="1"/>
        <v/>
      </c>
      <c r="H94" s="46">
        <f t="shared" si="2"/>
        <v>0</v>
      </c>
      <c r="I94" s="47"/>
    </row>
    <row r="95" ht="15.75" customHeight="1">
      <c r="A95" s="51">
        <v>46331.0</v>
      </c>
      <c r="B95" s="52" t="s">
        <v>117</v>
      </c>
      <c r="C95" s="54" t="s">
        <v>51</v>
      </c>
      <c r="D95" s="49"/>
      <c r="E95" s="57"/>
      <c r="F95" s="49"/>
      <c r="G95" s="44" t="str">
        <f t="shared" si="1"/>
        <v/>
      </c>
      <c r="H95" s="46">
        <f t="shared" si="2"/>
        <v>0</v>
      </c>
      <c r="I95" s="47"/>
    </row>
    <row r="96" ht="15.75" customHeight="1">
      <c r="A96" s="51">
        <v>46331.0</v>
      </c>
      <c r="B96" s="52" t="s">
        <v>117</v>
      </c>
      <c r="C96" s="54" t="s">
        <v>24</v>
      </c>
      <c r="D96" s="49"/>
      <c r="E96" s="57"/>
      <c r="F96" s="49"/>
      <c r="G96" s="44" t="str">
        <f t="shared" si="1"/>
        <v/>
      </c>
      <c r="H96" s="46">
        <f t="shared" si="2"/>
        <v>0</v>
      </c>
      <c r="I96" s="47"/>
    </row>
    <row r="97" ht="15.75" customHeight="1">
      <c r="A97" s="38">
        <v>46338.0</v>
      </c>
      <c r="B97" s="39" t="s">
        <v>110</v>
      </c>
      <c r="C97" s="54" t="s">
        <v>13</v>
      </c>
      <c r="D97" s="49"/>
      <c r="E97" s="57"/>
      <c r="F97" s="49"/>
      <c r="G97" s="44" t="str">
        <f t="shared" si="1"/>
        <v/>
      </c>
      <c r="H97" s="46">
        <f t="shared" si="2"/>
        <v>0</v>
      </c>
      <c r="I97" s="47"/>
    </row>
    <row r="98" ht="15.75" customHeight="1">
      <c r="A98" s="38">
        <v>46338.0</v>
      </c>
      <c r="B98" s="39" t="s">
        <v>110</v>
      </c>
      <c r="C98" s="54" t="s">
        <v>17</v>
      </c>
      <c r="D98" s="49"/>
      <c r="E98" s="57"/>
      <c r="F98" s="49"/>
      <c r="G98" s="44" t="str">
        <f t="shared" si="1"/>
        <v/>
      </c>
      <c r="H98" s="46">
        <f t="shared" si="2"/>
        <v>0</v>
      </c>
      <c r="I98" s="47"/>
    </row>
    <row r="99" ht="15.75" customHeight="1">
      <c r="A99" s="38">
        <v>46338.0</v>
      </c>
      <c r="B99" s="39" t="s">
        <v>110</v>
      </c>
      <c r="C99" s="54" t="s">
        <v>39</v>
      </c>
      <c r="D99" s="49"/>
      <c r="E99" s="57"/>
      <c r="F99" s="49"/>
      <c r="G99" s="44" t="str">
        <f t="shared" si="1"/>
        <v/>
      </c>
      <c r="H99" s="46">
        <f t="shared" si="2"/>
        <v>0</v>
      </c>
      <c r="I99" s="47"/>
    </row>
    <row r="100" ht="15.75" customHeight="1">
      <c r="A100" s="38">
        <v>46338.0</v>
      </c>
      <c r="B100" s="39" t="s">
        <v>110</v>
      </c>
      <c r="C100" s="54" t="s">
        <v>54</v>
      </c>
      <c r="D100" s="49"/>
      <c r="E100" s="57"/>
      <c r="F100" s="49"/>
      <c r="G100" s="44" t="str">
        <f t="shared" si="1"/>
        <v/>
      </c>
      <c r="H100" s="46">
        <f t="shared" si="2"/>
        <v>0</v>
      </c>
      <c r="I100" s="47"/>
    </row>
    <row r="101" ht="15.75" customHeight="1">
      <c r="A101" s="51">
        <v>46338.0</v>
      </c>
      <c r="B101" s="52" t="s">
        <v>117</v>
      </c>
      <c r="C101" s="54" t="s">
        <v>21</v>
      </c>
      <c r="D101" s="49"/>
      <c r="E101" s="57"/>
      <c r="F101" s="49"/>
      <c r="G101" s="44" t="str">
        <f t="shared" si="1"/>
        <v/>
      </c>
      <c r="H101" s="46">
        <f t="shared" si="2"/>
        <v>0</v>
      </c>
      <c r="I101" s="47"/>
    </row>
    <row r="102" ht="15.75" customHeight="1">
      <c r="A102" s="51">
        <v>46338.0</v>
      </c>
      <c r="B102" s="52" t="s">
        <v>117</v>
      </c>
      <c r="C102" s="54" t="s">
        <v>107</v>
      </c>
      <c r="D102" s="49"/>
      <c r="E102" s="57"/>
      <c r="F102" s="49"/>
      <c r="G102" s="44" t="str">
        <f t="shared" si="1"/>
        <v/>
      </c>
      <c r="H102" s="46">
        <f t="shared" si="2"/>
        <v>0</v>
      </c>
      <c r="I102" s="47"/>
    </row>
    <row r="103" ht="15.75" customHeight="1">
      <c r="A103" s="51">
        <v>46338.0</v>
      </c>
      <c r="B103" s="52" t="s">
        <v>117</v>
      </c>
      <c r="C103" s="54" t="s">
        <v>28</v>
      </c>
      <c r="D103" s="49"/>
      <c r="E103" s="57"/>
      <c r="F103" s="49"/>
      <c r="G103" s="44" t="str">
        <f t="shared" si="1"/>
        <v/>
      </c>
      <c r="H103" s="46">
        <f t="shared" si="2"/>
        <v>0</v>
      </c>
      <c r="I103" s="47"/>
    </row>
    <row r="104" ht="15.75" customHeight="1">
      <c r="A104" s="51">
        <v>46338.0</v>
      </c>
      <c r="B104" s="52" t="s">
        <v>117</v>
      </c>
      <c r="C104" s="54" t="s">
        <v>51</v>
      </c>
      <c r="D104" s="49"/>
      <c r="E104" s="57"/>
      <c r="F104" s="49"/>
      <c r="G104" s="44" t="str">
        <f t="shared" si="1"/>
        <v/>
      </c>
      <c r="H104" s="46">
        <f t="shared" si="2"/>
        <v>0</v>
      </c>
      <c r="I104" s="47"/>
    </row>
    <row r="105" ht="15.75" customHeight="1">
      <c r="A105" s="51">
        <v>46338.0</v>
      </c>
      <c r="B105" s="52" t="s">
        <v>117</v>
      </c>
      <c r="C105" s="54" t="s">
        <v>24</v>
      </c>
      <c r="D105" s="49"/>
      <c r="E105" s="57"/>
      <c r="F105" s="49"/>
      <c r="G105" s="44" t="str">
        <f t="shared" si="1"/>
        <v/>
      </c>
      <c r="H105" s="46">
        <f t="shared" si="2"/>
        <v>0</v>
      </c>
      <c r="I105" s="47"/>
    </row>
    <row r="106" ht="15.75" customHeight="1">
      <c r="A106" s="38">
        <v>46345.0</v>
      </c>
      <c r="B106" s="39" t="s">
        <v>110</v>
      </c>
      <c r="C106" s="54" t="s">
        <v>13</v>
      </c>
      <c r="D106" s="49"/>
      <c r="E106" s="57"/>
      <c r="F106" s="49"/>
      <c r="G106" s="44" t="str">
        <f t="shared" si="1"/>
        <v/>
      </c>
      <c r="H106" s="46">
        <f t="shared" si="2"/>
        <v>0</v>
      </c>
      <c r="I106" s="47"/>
    </row>
    <row r="107" ht="15.75" customHeight="1">
      <c r="A107" s="38">
        <v>46345.0</v>
      </c>
      <c r="B107" s="39" t="s">
        <v>110</v>
      </c>
      <c r="C107" s="54" t="s">
        <v>17</v>
      </c>
      <c r="D107" s="49"/>
      <c r="E107" s="57"/>
      <c r="F107" s="49"/>
      <c r="G107" s="44" t="str">
        <f t="shared" si="1"/>
        <v/>
      </c>
      <c r="H107" s="46">
        <f t="shared" si="2"/>
        <v>0</v>
      </c>
      <c r="I107" s="47"/>
    </row>
    <row r="108" ht="15.75" customHeight="1">
      <c r="A108" s="38">
        <v>46345.0</v>
      </c>
      <c r="B108" s="39" t="s">
        <v>110</v>
      </c>
      <c r="C108" s="54" t="s">
        <v>39</v>
      </c>
      <c r="D108" s="49"/>
      <c r="E108" s="57"/>
      <c r="F108" s="49"/>
      <c r="G108" s="44" t="str">
        <f t="shared" si="1"/>
        <v/>
      </c>
      <c r="H108" s="46">
        <f t="shared" si="2"/>
        <v>0</v>
      </c>
      <c r="I108" s="47"/>
    </row>
    <row r="109" ht="15.75" customHeight="1">
      <c r="A109" s="38">
        <v>46345.0</v>
      </c>
      <c r="B109" s="39" t="s">
        <v>110</v>
      </c>
      <c r="C109" s="54" t="s">
        <v>54</v>
      </c>
      <c r="D109" s="49"/>
      <c r="E109" s="57"/>
      <c r="F109" s="49"/>
      <c r="G109" s="44" t="str">
        <f t="shared" si="1"/>
        <v/>
      </c>
      <c r="H109" s="46">
        <f t="shared" si="2"/>
        <v>0</v>
      </c>
      <c r="I109" s="47"/>
    </row>
    <row r="110" ht="15.75" customHeight="1">
      <c r="A110" s="51">
        <v>46345.0</v>
      </c>
      <c r="B110" s="52" t="s">
        <v>117</v>
      </c>
      <c r="C110" s="54" t="s">
        <v>21</v>
      </c>
      <c r="D110" s="49"/>
      <c r="E110" s="57"/>
      <c r="F110" s="49"/>
      <c r="G110" s="44" t="str">
        <f t="shared" si="1"/>
        <v/>
      </c>
      <c r="H110" s="46">
        <f t="shared" si="2"/>
        <v>0</v>
      </c>
      <c r="I110" s="47"/>
    </row>
    <row r="111" ht="15.75" customHeight="1">
      <c r="A111" s="51">
        <v>46345.0</v>
      </c>
      <c r="B111" s="52" t="s">
        <v>117</v>
      </c>
      <c r="C111" s="54" t="s">
        <v>107</v>
      </c>
      <c r="D111" s="49"/>
      <c r="E111" s="57"/>
      <c r="F111" s="49"/>
      <c r="G111" s="44" t="str">
        <f t="shared" si="1"/>
        <v/>
      </c>
      <c r="H111" s="46">
        <f t="shared" si="2"/>
        <v>0</v>
      </c>
      <c r="I111" s="47"/>
    </row>
    <row r="112" ht="15.75" customHeight="1">
      <c r="A112" s="51">
        <v>46345.0</v>
      </c>
      <c r="B112" s="52" t="s">
        <v>117</v>
      </c>
      <c r="C112" s="54" t="s">
        <v>28</v>
      </c>
      <c r="D112" s="49"/>
      <c r="E112" s="57"/>
      <c r="F112" s="49"/>
      <c r="G112" s="44" t="str">
        <f t="shared" si="1"/>
        <v/>
      </c>
      <c r="H112" s="46">
        <f t="shared" si="2"/>
        <v>0</v>
      </c>
      <c r="I112" s="47"/>
    </row>
    <row r="113" ht="15.75" customHeight="1">
      <c r="A113" s="51">
        <v>46345.0</v>
      </c>
      <c r="B113" s="52" t="s">
        <v>117</v>
      </c>
      <c r="C113" s="54" t="s">
        <v>51</v>
      </c>
      <c r="D113" s="49"/>
      <c r="E113" s="57"/>
      <c r="F113" s="49"/>
      <c r="G113" s="44" t="str">
        <f t="shared" si="1"/>
        <v/>
      </c>
      <c r="H113" s="46">
        <f t="shared" si="2"/>
        <v>0</v>
      </c>
      <c r="I113" s="47"/>
    </row>
    <row r="114" ht="15.75" customHeight="1">
      <c r="A114" s="51">
        <v>46345.0</v>
      </c>
      <c r="B114" s="52" t="s">
        <v>117</v>
      </c>
      <c r="C114" s="54" t="s">
        <v>24</v>
      </c>
      <c r="D114" s="49"/>
      <c r="E114" s="57"/>
      <c r="F114" s="49"/>
      <c r="G114" s="44" t="str">
        <f t="shared" si="1"/>
        <v/>
      </c>
      <c r="H114" s="46">
        <f t="shared" si="2"/>
        <v>0</v>
      </c>
      <c r="I114" s="47"/>
    </row>
    <row r="115" ht="15.75" customHeight="1">
      <c r="A115" s="38">
        <v>46352.0</v>
      </c>
      <c r="B115" s="39" t="s">
        <v>110</v>
      </c>
      <c r="C115" s="54" t="s">
        <v>13</v>
      </c>
      <c r="D115" s="49"/>
      <c r="E115" s="57"/>
      <c r="F115" s="49"/>
      <c r="G115" s="44" t="str">
        <f t="shared" si="1"/>
        <v/>
      </c>
      <c r="H115" s="46">
        <f t="shared" si="2"/>
        <v>0</v>
      </c>
      <c r="I115" s="47"/>
    </row>
    <row r="116" ht="15.75" customHeight="1">
      <c r="A116" s="38">
        <v>46352.0</v>
      </c>
      <c r="B116" s="39" t="s">
        <v>110</v>
      </c>
      <c r="C116" s="54" t="s">
        <v>17</v>
      </c>
      <c r="D116" s="49"/>
      <c r="E116" s="57"/>
      <c r="F116" s="49"/>
      <c r="G116" s="44" t="str">
        <f t="shared" si="1"/>
        <v/>
      </c>
      <c r="H116" s="46">
        <f t="shared" si="2"/>
        <v>0</v>
      </c>
      <c r="I116" s="47"/>
    </row>
    <row r="117" ht="15.75" customHeight="1">
      <c r="A117" s="38">
        <v>46352.0</v>
      </c>
      <c r="B117" s="39" t="s">
        <v>110</v>
      </c>
      <c r="C117" s="54" t="s">
        <v>39</v>
      </c>
      <c r="D117" s="49"/>
      <c r="E117" s="57"/>
      <c r="F117" s="49"/>
      <c r="G117" s="44" t="str">
        <f t="shared" si="1"/>
        <v/>
      </c>
      <c r="H117" s="46">
        <f t="shared" si="2"/>
        <v>0</v>
      </c>
      <c r="I117" s="47"/>
    </row>
    <row r="118" ht="15.75" customHeight="1">
      <c r="A118" s="38">
        <v>46352.0</v>
      </c>
      <c r="B118" s="39" t="s">
        <v>110</v>
      </c>
      <c r="C118" s="54" t="s">
        <v>54</v>
      </c>
      <c r="D118" s="49"/>
      <c r="E118" s="57"/>
      <c r="F118" s="49"/>
      <c r="G118" s="44" t="str">
        <f t="shared" si="1"/>
        <v/>
      </c>
      <c r="H118" s="46">
        <f t="shared" si="2"/>
        <v>0</v>
      </c>
      <c r="I118" s="47"/>
    </row>
    <row r="119" ht="15.75" customHeight="1">
      <c r="A119" s="51">
        <v>46352.0</v>
      </c>
      <c r="B119" s="52" t="s">
        <v>117</v>
      </c>
      <c r="C119" s="54" t="s">
        <v>21</v>
      </c>
      <c r="D119" s="49"/>
      <c r="E119" s="57"/>
      <c r="F119" s="49"/>
      <c r="G119" s="44" t="str">
        <f t="shared" si="1"/>
        <v/>
      </c>
      <c r="H119" s="46">
        <f t="shared" si="2"/>
        <v>0</v>
      </c>
      <c r="I119" s="47"/>
    </row>
    <row r="120" ht="15.75" customHeight="1">
      <c r="A120" s="51">
        <v>46352.0</v>
      </c>
      <c r="B120" s="52" t="s">
        <v>117</v>
      </c>
      <c r="C120" s="54" t="s">
        <v>107</v>
      </c>
      <c r="D120" s="49"/>
      <c r="E120" s="57"/>
      <c r="F120" s="49"/>
      <c r="G120" s="44" t="str">
        <f t="shared" si="1"/>
        <v/>
      </c>
      <c r="H120" s="46">
        <f t="shared" si="2"/>
        <v>0</v>
      </c>
      <c r="I120" s="47"/>
    </row>
    <row r="121" ht="15.75" customHeight="1">
      <c r="A121" s="51">
        <v>46352.0</v>
      </c>
      <c r="B121" s="52" t="s">
        <v>117</v>
      </c>
      <c r="C121" s="54" t="s">
        <v>28</v>
      </c>
      <c r="D121" s="49"/>
      <c r="E121" s="57"/>
      <c r="F121" s="49"/>
      <c r="G121" s="44" t="str">
        <f t="shared" si="1"/>
        <v/>
      </c>
      <c r="H121" s="46">
        <f t="shared" si="2"/>
        <v>0</v>
      </c>
      <c r="I121" s="47"/>
    </row>
    <row r="122" ht="15.75" customHeight="1">
      <c r="A122" s="51">
        <v>46352.0</v>
      </c>
      <c r="B122" s="52" t="s">
        <v>117</v>
      </c>
      <c r="C122" s="54" t="s">
        <v>51</v>
      </c>
      <c r="D122" s="49"/>
      <c r="E122" s="57"/>
      <c r="F122" s="49"/>
      <c r="G122" s="44" t="str">
        <f t="shared" si="1"/>
        <v/>
      </c>
      <c r="H122" s="46">
        <f t="shared" si="2"/>
        <v>0</v>
      </c>
      <c r="I122" s="47"/>
    </row>
    <row r="123" ht="15.75" customHeight="1">
      <c r="A123" s="51">
        <v>46352.0</v>
      </c>
      <c r="B123" s="52" t="s">
        <v>117</v>
      </c>
      <c r="C123" s="54" t="s">
        <v>24</v>
      </c>
      <c r="D123" s="49"/>
      <c r="E123" s="57"/>
      <c r="F123" s="49"/>
      <c r="G123" s="44" t="str">
        <f t="shared" si="1"/>
        <v/>
      </c>
      <c r="H123" s="46">
        <f t="shared" si="2"/>
        <v>0</v>
      </c>
      <c r="I123" s="47"/>
    </row>
    <row r="124" ht="15.75" customHeight="1">
      <c r="A124" s="38">
        <v>46359.0</v>
      </c>
      <c r="B124" s="39" t="s">
        <v>110</v>
      </c>
      <c r="C124" s="54" t="s">
        <v>13</v>
      </c>
      <c r="D124" s="49"/>
      <c r="E124" s="57"/>
      <c r="F124" s="49"/>
      <c r="G124" s="44" t="str">
        <f t="shared" si="1"/>
        <v/>
      </c>
      <c r="H124" s="46">
        <f t="shared" si="2"/>
        <v>0</v>
      </c>
      <c r="I124" s="47"/>
    </row>
    <row r="125" ht="15.75" customHeight="1">
      <c r="A125" s="38">
        <v>46359.0</v>
      </c>
      <c r="B125" s="39" t="s">
        <v>110</v>
      </c>
      <c r="C125" s="54" t="s">
        <v>17</v>
      </c>
      <c r="D125" s="49"/>
      <c r="E125" s="57"/>
      <c r="F125" s="49"/>
      <c r="G125" s="44" t="str">
        <f t="shared" si="1"/>
        <v/>
      </c>
      <c r="H125" s="46">
        <f t="shared" si="2"/>
        <v>0</v>
      </c>
      <c r="I125" s="47"/>
    </row>
    <row r="126" ht="15.75" customHeight="1">
      <c r="A126" s="38">
        <v>46359.0</v>
      </c>
      <c r="B126" s="39" t="s">
        <v>110</v>
      </c>
      <c r="C126" s="54" t="s">
        <v>39</v>
      </c>
      <c r="D126" s="49"/>
      <c r="E126" s="57"/>
      <c r="F126" s="49"/>
      <c r="G126" s="44" t="str">
        <f t="shared" si="1"/>
        <v/>
      </c>
      <c r="H126" s="46">
        <f t="shared" si="2"/>
        <v>0</v>
      </c>
      <c r="I126" s="47"/>
    </row>
    <row r="127" ht="15.75" customHeight="1">
      <c r="A127" s="38">
        <v>46359.0</v>
      </c>
      <c r="B127" s="39" t="s">
        <v>110</v>
      </c>
      <c r="C127" s="54" t="s">
        <v>54</v>
      </c>
      <c r="D127" s="49"/>
      <c r="E127" s="57"/>
      <c r="F127" s="49"/>
      <c r="G127" s="44" t="str">
        <f t="shared" si="1"/>
        <v/>
      </c>
      <c r="H127" s="46">
        <f t="shared" si="2"/>
        <v>0</v>
      </c>
      <c r="I127" s="47"/>
    </row>
    <row r="128" ht="15.75" customHeight="1">
      <c r="A128" s="51">
        <v>46359.0</v>
      </c>
      <c r="B128" s="52" t="s">
        <v>117</v>
      </c>
      <c r="C128" s="54" t="s">
        <v>21</v>
      </c>
      <c r="D128" s="49"/>
      <c r="E128" s="57"/>
      <c r="F128" s="49"/>
      <c r="G128" s="44" t="str">
        <f t="shared" si="1"/>
        <v/>
      </c>
      <c r="H128" s="46">
        <f t="shared" si="2"/>
        <v>0</v>
      </c>
      <c r="I128" s="47"/>
    </row>
    <row r="129" ht="15.75" customHeight="1">
      <c r="A129" s="51">
        <v>46359.0</v>
      </c>
      <c r="B129" s="52" t="s">
        <v>117</v>
      </c>
      <c r="C129" s="54" t="s">
        <v>107</v>
      </c>
      <c r="D129" s="49"/>
      <c r="E129" s="57"/>
      <c r="F129" s="49"/>
      <c r="G129" s="44" t="str">
        <f t="shared" si="1"/>
        <v/>
      </c>
      <c r="H129" s="46">
        <f t="shared" si="2"/>
        <v>0</v>
      </c>
      <c r="I129" s="47"/>
    </row>
    <row r="130" ht="15.75" customHeight="1">
      <c r="A130" s="51">
        <v>46359.0</v>
      </c>
      <c r="B130" s="52" t="s">
        <v>117</v>
      </c>
      <c r="C130" s="54" t="s">
        <v>28</v>
      </c>
      <c r="D130" s="49"/>
      <c r="E130" s="57"/>
      <c r="F130" s="49"/>
      <c r="G130" s="44" t="str">
        <f t="shared" si="1"/>
        <v/>
      </c>
      <c r="H130" s="46">
        <f t="shared" si="2"/>
        <v>0</v>
      </c>
      <c r="I130" s="47"/>
    </row>
    <row r="131" ht="15.75" customHeight="1">
      <c r="A131" s="51">
        <v>46359.0</v>
      </c>
      <c r="B131" s="52" t="s">
        <v>117</v>
      </c>
      <c r="C131" s="54" t="s">
        <v>51</v>
      </c>
      <c r="D131" s="49"/>
      <c r="E131" s="57"/>
      <c r="F131" s="49"/>
      <c r="G131" s="44" t="str">
        <f t="shared" si="1"/>
        <v/>
      </c>
      <c r="H131" s="46">
        <f t="shared" si="2"/>
        <v>0</v>
      </c>
      <c r="I131" s="47"/>
    </row>
    <row r="132" ht="15.75" customHeight="1">
      <c r="A132" s="51">
        <v>46359.0</v>
      </c>
      <c r="B132" s="52" t="s">
        <v>117</v>
      </c>
      <c r="C132" s="54" t="s">
        <v>24</v>
      </c>
      <c r="D132" s="49"/>
      <c r="E132" s="57"/>
      <c r="F132" s="49"/>
      <c r="G132" s="44" t="str">
        <f t="shared" si="1"/>
        <v/>
      </c>
      <c r="H132" s="46">
        <f t="shared" si="2"/>
        <v>0</v>
      </c>
      <c r="I132" s="47"/>
    </row>
    <row r="133" ht="15.75" customHeight="1">
      <c r="A133" s="38">
        <v>46366.0</v>
      </c>
      <c r="B133" s="39" t="s">
        <v>110</v>
      </c>
      <c r="C133" s="54" t="s">
        <v>13</v>
      </c>
      <c r="D133" s="49"/>
      <c r="E133" s="57"/>
      <c r="F133" s="49"/>
      <c r="G133" s="44" t="str">
        <f t="shared" si="1"/>
        <v/>
      </c>
      <c r="H133" s="46">
        <f t="shared" si="2"/>
        <v>0</v>
      </c>
      <c r="I133" s="47"/>
    </row>
    <row r="134" ht="15.75" customHeight="1">
      <c r="A134" s="38">
        <v>46366.0</v>
      </c>
      <c r="B134" s="39" t="s">
        <v>110</v>
      </c>
      <c r="C134" s="54" t="s">
        <v>17</v>
      </c>
      <c r="D134" s="49"/>
      <c r="E134" s="57"/>
      <c r="F134" s="49"/>
      <c r="G134" s="44" t="str">
        <f t="shared" si="1"/>
        <v/>
      </c>
      <c r="H134" s="46">
        <f t="shared" si="2"/>
        <v>0</v>
      </c>
      <c r="I134" s="47"/>
    </row>
    <row r="135" ht="15.75" customHeight="1">
      <c r="A135" s="38">
        <v>46366.0</v>
      </c>
      <c r="B135" s="39" t="s">
        <v>110</v>
      </c>
      <c r="C135" s="54" t="s">
        <v>39</v>
      </c>
      <c r="D135" s="49"/>
      <c r="E135" s="57"/>
      <c r="F135" s="49"/>
      <c r="G135" s="44" t="str">
        <f t="shared" si="1"/>
        <v/>
      </c>
      <c r="H135" s="46">
        <f t="shared" si="2"/>
        <v>0</v>
      </c>
      <c r="I135" s="47"/>
    </row>
    <row r="136" ht="15.75" customHeight="1">
      <c r="A136" s="38">
        <v>46366.0</v>
      </c>
      <c r="B136" s="39" t="s">
        <v>110</v>
      </c>
      <c r="C136" s="54" t="s">
        <v>54</v>
      </c>
      <c r="D136" s="49"/>
      <c r="E136" s="57"/>
      <c r="F136" s="49"/>
      <c r="G136" s="44" t="str">
        <f t="shared" si="1"/>
        <v/>
      </c>
      <c r="H136" s="46">
        <f t="shared" si="2"/>
        <v>0</v>
      </c>
      <c r="I136" s="47"/>
    </row>
    <row r="137" ht="15.75" customHeight="1">
      <c r="A137" s="51">
        <v>46366.0</v>
      </c>
      <c r="B137" s="52" t="s">
        <v>117</v>
      </c>
      <c r="C137" s="54" t="s">
        <v>21</v>
      </c>
      <c r="D137" s="49"/>
      <c r="E137" s="57"/>
      <c r="F137" s="49"/>
      <c r="G137" s="44" t="str">
        <f t="shared" si="1"/>
        <v/>
      </c>
      <c r="H137" s="46">
        <f t="shared" si="2"/>
        <v>0</v>
      </c>
      <c r="I137" s="47"/>
    </row>
    <row r="138" ht="15.75" customHeight="1">
      <c r="A138" s="51">
        <v>46366.0</v>
      </c>
      <c r="B138" s="52" t="s">
        <v>117</v>
      </c>
      <c r="C138" s="54" t="s">
        <v>107</v>
      </c>
      <c r="D138" s="49"/>
      <c r="E138" s="57"/>
      <c r="F138" s="49"/>
      <c r="G138" s="44" t="str">
        <f t="shared" si="1"/>
        <v/>
      </c>
      <c r="H138" s="46">
        <f t="shared" si="2"/>
        <v>0</v>
      </c>
      <c r="I138" s="47"/>
    </row>
    <row r="139" ht="15.75" customHeight="1">
      <c r="A139" s="51">
        <v>46366.0</v>
      </c>
      <c r="B139" s="52" t="s">
        <v>117</v>
      </c>
      <c r="C139" s="54" t="s">
        <v>28</v>
      </c>
      <c r="D139" s="49"/>
      <c r="E139" s="57"/>
      <c r="F139" s="49"/>
      <c r="G139" s="44" t="str">
        <f t="shared" si="1"/>
        <v/>
      </c>
      <c r="H139" s="46">
        <f t="shared" si="2"/>
        <v>0</v>
      </c>
      <c r="I139" s="47"/>
    </row>
    <row r="140" ht="15.75" customHeight="1">
      <c r="A140" s="51">
        <v>46366.0</v>
      </c>
      <c r="B140" s="52" t="s">
        <v>117</v>
      </c>
      <c r="C140" s="54" t="s">
        <v>51</v>
      </c>
      <c r="D140" s="49"/>
      <c r="E140" s="57"/>
      <c r="F140" s="49"/>
      <c r="G140" s="44" t="str">
        <f t="shared" si="1"/>
        <v/>
      </c>
      <c r="H140" s="46">
        <f t="shared" si="2"/>
        <v>0</v>
      </c>
      <c r="I140" s="47"/>
    </row>
    <row r="141" ht="15.75" customHeight="1">
      <c r="A141" s="51">
        <v>46366.0</v>
      </c>
      <c r="B141" s="52" t="s">
        <v>117</v>
      </c>
      <c r="C141" s="54" t="s">
        <v>24</v>
      </c>
      <c r="D141" s="49"/>
      <c r="E141" s="57"/>
      <c r="F141" s="49"/>
      <c r="G141" s="44" t="str">
        <f t="shared" si="1"/>
        <v/>
      </c>
      <c r="H141" s="46">
        <f t="shared" si="2"/>
        <v>0</v>
      </c>
      <c r="I141" s="47"/>
    </row>
    <row r="142" ht="15.75" customHeight="1">
      <c r="A142" s="38">
        <v>46373.0</v>
      </c>
      <c r="B142" s="39" t="s">
        <v>110</v>
      </c>
      <c r="C142" s="54" t="s">
        <v>13</v>
      </c>
      <c r="D142" s="49"/>
      <c r="E142" s="57"/>
      <c r="F142" s="49"/>
      <c r="G142" s="44" t="str">
        <f t="shared" si="1"/>
        <v/>
      </c>
      <c r="H142" s="46">
        <f t="shared" si="2"/>
        <v>0</v>
      </c>
      <c r="I142" s="47"/>
    </row>
    <row r="143" ht="15.75" customHeight="1">
      <c r="A143" s="38">
        <v>46373.0</v>
      </c>
      <c r="B143" s="39" t="s">
        <v>110</v>
      </c>
      <c r="C143" s="54" t="s">
        <v>17</v>
      </c>
      <c r="D143" s="49"/>
      <c r="E143" s="57"/>
      <c r="F143" s="49"/>
      <c r="G143" s="44" t="str">
        <f t="shared" si="1"/>
        <v/>
      </c>
      <c r="H143" s="46">
        <f t="shared" si="2"/>
        <v>0</v>
      </c>
      <c r="I143" s="47"/>
    </row>
    <row r="144" ht="15.75" customHeight="1">
      <c r="A144" s="38">
        <v>46373.0</v>
      </c>
      <c r="B144" s="39" t="s">
        <v>110</v>
      </c>
      <c r="C144" s="54" t="s">
        <v>39</v>
      </c>
      <c r="D144" s="49"/>
      <c r="E144" s="57"/>
      <c r="F144" s="49"/>
      <c r="G144" s="44" t="str">
        <f t="shared" si="1"/>
        <v/>
      </c>
      <c r="H144" s="46">
        <f t="shared" si="2"/>
        <v>0</v>
      </c>
      <c r="I144" s="47"/>
    </row>
    <row r="145" ht="15.75" customHeight="1">
      <c r="A145" s="38">
        <v>46373.0</v>
      </c>
      <c r="B145" s="39" t="s">
        <v>110</v>
      </c>
      <c r="C145" s="54" t="s">
        <v>54</v>
      </c>
      <c r="D145" s="49"/>
      <c r="E145" s="57"/>
      <c r="F145" s="49"/>
      <c r="G145" s="44" t="str">
        <f t="shared" si="1"/>
        <v/>
      </c>
      <c r="H145" s="46">
        <f t="shared" si="2"/>
        <v>0</v>
      </c>
      <c r="I145" s="47"/>
    </row>
    <row r="146" ht="15.75" customHeight="1">
      <c r="A146" s="51">
        <v>46373.0</v>
      </c>
      <c r="B146" s="52" t="s">
        <v>117</v>
      </c>
      <c r="C146" s="54" t="s">
        <v>21</v>
      </c>
      <c r="D146" s="49"/>
      <c r="E146" s="57"/>
      <c r="F146" s="49"/>
      <c r="G146" s="44" t="str">
        <f t="shared" si="1"/>
        <v/>
      </c>
      <c r="H146" s="46">
        <f t="shared" si="2"/>
        <v>0</v>
      </c>
      <c r="I146" s="47"/>
    </row>
    <row r="147" ht="15.75" customHeight="1">
      <c r="A147" s="51">
        <v>46373.0</v>
      </c>
      <c r="B147" s="52" t="s">
        <v>117</v>
      </c>
      <c r="C147" s="54" t="s">
        <v>107</v>
      </c>
      <c r="D147" s="49"/>
      <c r="E147" s="57"/>
      <c r="F147" s="49"/>
      <c r="G147" s="44" t="str">
        <f t="shared" si="1"/>
        <v/>
      </c>
      <c r="H147" s="46">
        <f t="shared" si="2"/>
        <v>0</v>
      </c>
      <c r="I147" s="47"/>
    </row>
    <row r="148" ht="15.75" customHeight="1">
      <c r="A148" s="51">
        <v>46373.0</v>
      </c>
      <c r="B148" s="52" t="s">
        <v>117</v>
      </c>
      <c r="C148" s="54" t="s">
        <v>28</v>
      </c>
      <c r="D148" s="49"/>
      <c r="E148" s="57"/>
      <c r="F148" s="49"/>
      <c r="G148" s="44" t="str">
        <f t="shared" si="1"/>
        <v/>
      </c>
      <c r="H148" s="46">
        <f t="shared" si="2"/>
        <v>0</v>
      </c>
      <c r="I148" s="47"/>
    </row>
    <row r="149" ht="15.75" customHeight="1">
      <c r="A149" s="51">
        <v>46373.0</v>
      </c>
      <c r="B149" s="52" t="s">
        <v>117</v>
      </c>
      <c r="C149" s="54" t="s">
        <v>51</v>
      </c>
      <c r="D149" s="49"/>
      <c r="E149" s="57"/>
      <c r="F149" s="49"/>
      <c r="G149" s="44" t="str">
        <f t="shared" si="1"/>
        <v/>
      </c>
      <c r="H149" s="46">
        <f t="shared" si="2"/>
        <v>0</v>
      </c>
      <c r="I149" s="47"/>
    </row>
    <row r="150" ht="15.75" customHeight="1">
      <c r="A150" s="51">
        <v>46373.0</v>
      </c>
      <c r="B150" s="52" t="s">
        <v>117</v>
      </c>
      <c r="C150" s="54" t="s">
        <v>24</v>
      </c>
      <c r="D150" s="49"/>
      <c r="E150" s="57"/>
      <c r="F150" s="49"/>
      <c r="G150" s="44" t="str">
        <f t="shared" si="1"/>
        <v/>
      </c>
      <c r="H150" s="46">
        <f t="shared" si="2"/>
        <v>0</v>
      </c>
      <c r="I150" s="47"/>
    </row>
    <row r="151" ht="15.75" customHeight="1">
      <c r="A151" s="38">
        <v>46380.0</v>
      </c>
      <c r="B151" s="39" t="s">
        <v>110</v>
      </c>
      <c r="C151" s="54" t="s">
        <v>13</v>
      </c>
      <c r="D151" s="49"/>
      <c r="E151" s="57"/>
      <c r="F151" s="49"/>
      <c r="G151" s="44" t="str">
        <f t="shared" si="1"/>
        <v/>
      </c>
      <c r="H151" s="46">
        <f t="shared" si="2"/>
        <v>0</v>
      </c>
      <c r="I151" s="47"/>
    </row>
    <row r="152" ht="15.75" customHeight="1">
      <c r="A152" s="38">
        <v>46380.0</v>
      </c>
      <c r="B152" s="39" t="s">
        <v>110</v>
      </c>
      <c r="C152" s="54" t="s">
        <v>17</v>
      </c>
      <c r="D152" s="49"/>
      <c r="E152" s="57"/>
      <c r="F152" s="49"/>
      <c r="G152" s="44" t="str">
        <f t="shared" si="1"/>
        <v/>
      </c>
      <c r="H152" s="46">
        <f t="shared" si="2"/>
        <v>0</v>
      </c>
      <c r="I152" s="47"/>
    </row>
    <row r="153" ht="15.75" customHeight="1">
      <c r="A153" s="38">
        <v>46380.0</v>
      </c>
      <c r="B153" s="39" t="s">
        <v>110</v>
      </c>
      <c r="C153" s="54" t="s">
        <v>39</v>
      </c>
      <c r="D153" s="49"/>
      <c r="E153" s="57"/>
      <c r="F153" s="49"/>
      <c r="G153" s="44" t="str">
        <f t="shared" si="1"/>
        <v/>
      </c>
      <c r="H153" s="46">
        <f t="shared" si="2"/>
        <v>0</v>
      </c>
      <c r="I153" s="47"/>
    </row>
    <row r="154" ht="15.75" customHeight="1">
      <c r="A154" s="38">
        <v>46380.0</v>
      </c>
      <c r="B154" s="39" t="s">
        <v>110</v>
      </c>
      <c r="C154" s="54" t="s">
        <v>54</v>
      </c>
      <c r="D154" s="49"/>
      <c r="E154" s="57"/>
      <c r="F154" s="49"/>
      <c r="G154" s="44" t="str">
        <f t="shared" si="1"/>
        <v/>
      </c>
      <c r="H154" s="46">
        <f t="shared" si="2"/>
        <v>0</v>
      </c>
      <c r="I154" s="47"/>
    </row>
    <row r="155" ht="15.75" customHeight="1">
      <c r="A155" s="51">
        <v>46380.0</v>
      </c>
      <c r="B155" s="52" t="s">
        <v>117</v>
      </c>
      <c r="C155" s="54" t="s">
        <v>21</v>
      </c>
      <c r="D155" s="49"/>
      <c r="E155" s="57"/>
      <c r="F155" s="49"/>
      <c r="G155" s="44" t="str">
        <f t="shared" si="1"/>
        <v/>
      </c>
      <c r="H155" s="46">
        <f t="shared" si="2"/>
        <v>0</v>
      </c>
      <c r="I155" s="47"/>
    </row>
    <row r="156" ht="15.75" customHeight="1">
      <c r="A156" s="51">
        <v>46380.0</v>
      </c>
      <c r="B156" s="52" t="s">
        <v>117</v>
      </c>
      <c r="C156" s="54" t="s">
        <v>107</v>
      </c>
      <c r="D156" s="49"/>
      <c r="E156" s="57"/>
      <c r="F156" s="49"/>
      <c r="G156" s="44" t="str">
        <f t="shared" si="1"/>
        <v/>
      </c>
      <c r="H156" s="46">
        <f t="shared" si="2"/>
        <v>0</v>
      </c>
      <c r="I156" s="47"/>
    </row>
    <row r="157" ht="15.75" customHeight="1">
      <c r="A157" s="51">
        <v>46380.0</v>
      </c>
      <c r="B157" s="52" t="s">
        <v>117</v>
      </c>
      <c r="C157" s="54" t="s">
        <v>28</v>
      </c>
      <c r="D157" s="49"/>
      <c r="E157" s="57"/>
      <c r="F157" s="49"/>
      <c r="G157" s="44" t="str">
        <f t="shared" si="1"/>
        <v/>
      </c>
      <c r="H157" s="46">
        <f t="shared" si="2"/>
        <v>0</v>
      </c>
      <c r="I157" s="47"/>
    </row>
    <row r="158" ht="15.75" customHeight="1">
      <c r="A158" s="51">
        <v>46380.0</v>
      </c>
      <c r="B158" s="52" t="s">
        <v>117</v>
      </c>
      <c r="C158" s="54" t="s">
        <v>51</v>
      </c>
      <c r="D158" s="49"/>
      <c r="E158" s="57"/>
      <c r="F158" s="49"/>
      <c r="G158" s="44" t="str">
        <f t="shared" si="1"/>
        <v/>
      </c>
      <c r="H158" s="46">
        <f t="shared" si="2"/>
        <v>0</v>
      </c>
      <c r="I158" s="47"/>
    </row>
    <row r="159" ht="15.75" customHeight="1">
      <c r="A159" s="51">
        <v>46380.0</v>
      </c>
      <c r="B159" s="52" t="s">
        <v>117</v>
      </c>
      <c r="C159" s="54" t="s">
        <v>24</v>
      </c>
      <c r="D159" s="49"/>
      <c r="E159" s="57"/>
      <c r="F159" s="49"/>
      <c r="G159" s="44" t="str">
        <f t="shared" si="1"/>
        <v/>
      </c>
      <c r="H159" s="46">
        <f t="shared" si="2"/>
        <v>0</v>
      </c>
      <c r="I159" s="47"/>
    </row>
    <row r="160" ht="15.75" customHeight="1">
      <c r="A160" s="38">
        <v>46387.0</v>
      </c>
      <c r="B160" s="39" t="s">
        <v>110</v>
      </c>
      <c r="C160" s="54" t="s">
        <v>13</v>
      </c>
      <c r="D160" s="49"/>
      <c r="E160" s="57"/>
      <c r="F160" s="49"/>
      <c r="G160" s="44" t="str">
        <f t="shared" si="1"/>
        <v/>
      </c>
      <c r="H160" s="46">
        <f t="shared" si="2"/>
        <v>0</v>
      </c>
      <c r="I160" s="47"/>
    </row>
    <row r="161" ht="15.75" customHeight="1">
      <c r="A161" s="38">
        <v>46387.0</v>
      </c>
      <c r="B161" s="39" t="s">
        <v>110</v>
      </c>
      <c r="C161" s="54" t="s">
        <v>17</v>
      </c>
      <c r="D161" s="49"/>
      <c r="E161" s="57"/>
      <c r="F161" s="49"/>
      <c r="G161" s="44" t="str">
        <f t="shared" si="1"/>
        <v/>
      </c>
      <c r="H161" s="46">
        <f t="shared" si="2"/>
        <v>0</v>
      </c>
      <c r="I161" s="47"/>
    </row>
    <row r="162" ht="15.75" customHeight="1">
      <c r="A162" s="38">
        <v>46387.0</v>
      </c>
      <c r="B162" s="39" t="s">
        <v>110</v>
      </c>
      <c r="C162" s="54" t="s">
        <v>39</v>
      </c>
      <c r="D162" s="49"/>
      <c r="E162" s="57"/>
      <c r="F162" s="49"/>
      <c r="G162" s="44" t="str">
        <f t="shared" si="1"/>
        <v/>
      </c>
      <c r="H162" s="46">
        <f t="shared" si="2"/>
        <v>0</v>
      </c>
      <c r="I162" s="47"/>
    </row>
    <row r="163" ht="15.75" customHeight="1">
      <c r="A163" s="38">
        <v>46387.0</v>
      </c>
      <c r="B163" s="39" t="s">
        <v>110</v>
      </c>
      <c r="C163" s="54" t="s">
        <v>54</v>
      </c>
      <c r="D163" s="49"/>
      <c r="E163" s="57"/>
      <c r="F163" s="49"/>
      <c r="G163" s="44" t="str">
        <f t="shared" si="1"/>
        <v/>
      </c>
      <c r="H163" s="46">
        <f t="shared" si="2"/>
        <v>0</v>
      </c>
      <c r="I163" s="47"/>
    </row>
    <row r="164" ht="15.75" customHeight="1">
      <c r="A164" s="51">
        <v>46387.0</v>
      </c>
      <c r="B164" s="52" t="s">
        <v>117</v>
      </c>
      <c r="C164" s="54" t="s">
        <v>21</v>
      </c>
      <c r="D164" s="49"/>
      <c r="E164" s="57"/>
      <c r="F164" s="49"/>
      <c r="G164" s="44" t="str">
        <f t="shared" si="1"/>
        <v/>
      </c>
      <c r="H164" s="46">
        <f t="shared" si="2"/>
        <v>0</v>
      </c>
      <c r="I164" s="47"/>
    </row>
    <row r="165" ht="15.75" customHeight="1">
      <c r="A165" s="51">
        <v>46387.0</v>
      </c>
      <c r="B165" s="52" t="s">
        <v>117</v>
      </c>
      <c r="C165" s="54" t="s">
        <v>107</v>
      </c>
      <c r="D165" s="49"/>
      <c r="E165" s="57"/>
      <c r="F165" s="49"/>
      <c r="G165" s="44" t="str">
        <f t="shared" si="1"/>
        <v/>
      </c>
      <c r="H165" s="46">
        <f t="shared" si="2"/>
        <v>0</v>
      </c>
      <c r="I165" s="47"/>
    </row>
    <row r="166" ht="15.75" customHeight="1">
      <c r="A166" s="51">
        <v>46387.0</v>
      </c>
      <c r="B166" s="52" t="s">
        <v>117</v>
      </c>
      <c r="C166" s="54" t="s">
        <v>28</v>
      </c>
      <c r="D166" s="49"/>
      <c r="E166" s="57"/>
      <c r="F166" s="49"/>
      <c r="G166" s="44" t="str">
        <f t="shared" si="1"/>
        <v/>
      </c>
      <c r="H166" s="46">
        <f t="shared" si="2"/>
        <v>0</v>
      </c>
      <c r="I166" s="47"/>
    </row>
    <row r="167" ht="15.75" customHeight="1">
      <c r="A167" s="51">
        <v>46387.0</v>
      </c>
      <c r="B167" s="52" t="s">
        <v>117</v>
      </c>
      <c r="C167" s="54" t="s">
        <v>51</v>
      </c>
      <c r="D167" s="49"/>
      <c r="E167" s="57"/>
      <c r="F167" s="49"/>
      <c r="G167" s="44" t="str">
        <f t="shared" si="1"/>
        <v/>
      </c>
      <c r="H167" s="46">
        <f t="shared" si="2"/>
        <v>0</v>
      </c>
      <c r="I167" s="47"/>
    </row>
    <row r="168" ht="15.75" customHeight="1">
      <c r="A168" s="51">
        <v>46387.0</v>
      </c>
      <c r="B168" s="52" t="s">
        <v>117</v>
      </c>
      <c r="C168" s="54" t="s">
        <v>24</v>
      </c>
      <c r="D168" s="49"/>
      <c r="E168" s="57"/>
      <c r="F168" s="49"/>
      <c r="G168" s="44" t="str">
        <f t="shared" si="1"/>
        <v/>
      </c>
      <c r="H168" s="46">
        <f t="shared" si="2"/>
        <v>0</v>
      </c>
      <c r="I168" s="47"/>
    </row>
    <row r="169" ht="15.75" customHeight="1">
      <c r="A169" s="38">
        <v>46394.0</v>
      </c>
      <c r="B169" s="39" t="s">
        <v>110</v>
      </c>
      <c r="C169" s="54" t="s">
        <v>13</v>
      </c>
      <c r="D169" s="49"/>
      <c r="E169" s="57"/>
      <c r="F169" s="49"/>
      <c r="G169" s="44" t="str">
        <f t="shared" si="1"/>
        <v/>
      </c>
      <c r="H169" s="46">
        <f t="shared" si="2"/>
        <v>0</v>
      </c>
      <c r="I169" s="47"/>
    </row>
    <row r="170" ht="15.75" customHeight="1">
      <c r="A170" s="38">
        <v>46394.0</v>
      </c>
      <c r="B170" s="39" t="s">
        <v>110</v>
      </c>
      <c r="C170" s="54" t="s">
        <v>17</v>
      </c>
      <c r="D170" s="49"/>
      <c r="E170" s="57"/>
      <c r="F170" s="49"/>
      <c r="G170" s="44" t="str">
        <f t="shared" si="1"/>
        <v/>
      </c>
      <c r="H170" s="46">
        <f t="shared" si="2"/>
        <v>0</v>
      </c>
      <c r="I170" s="47"/>
    </row>
    <row r="171" ht="15.75" customHeight="1">
      <c r="A171" s="38">
        <v>46394.0</v>
      </c>
      <c r="B171" s="39" t="s">
        <v>110</v>
      </c>
      <c r="C171" s="54" t="s">
        <v>39</v>
      </c>
      <c r="D171" s="49"/>
      <c r="E171" s="57"/>
      <c r="F171" s="49"/>
      <c r="G171" s="44" t="str">
        <f t="shared" si="1"/>
        <v/>
      </c>
      <c r="H171" s="46">
        <f t="shared" si="2"/>
        <v>0</v>
      </c>
      <c r="I171" s="47"/>
    </row>
    <row r="172" ht="15.75" customHeight="1">
      <c r="A172" s="38">
        <v>46394.0</v>
      </c>
      <c r="B172" s="39" t="s">
        <v>110</v>
      </c>
      <c r="C172" s="54" t="s">
        <v>54</v>
      </c>
      <c r="D172" s="49"/>
      <c r="E172" s="57"/>
      <c r="F172" s="49"/>
      <c r="G172" s="44" t="str">
        <f t="shared" si="1"/>
        <v/>
      </c>
      <c r="H172" s="46">
        <f t="shared" si="2"/>
        <v>0</v>
      </c>
      <c r="I172" s="47"/>
    </row>
    <row r="173">
      <c r="A173" s="51">
        <v>46394.0</v>
      </c>
      <c r="B173" s="52" t="s">
        <v>117</v>
      </c>
      <c r="C173" s="54" t="s">
        <v>21</v>
      </c>
      <c r="D173" s="49"/>
      <c r="E173" s="57"/>
      <c r="F173" s="49"/>
      <c r="G173" s="44" t="str">
        <f t="shared" si="1"/>
        <v/>
      </c>
      <c r="H173" s="46">
        <f t="shared" si="2"/>
        <v>0</v>
      </c>
      <c r="I173" s="47"/>
    </row>
    <row r="174" ht="15.75" customHeight="1">
      <c r="A174" s="51">
        <v>46394.0</v>
      </c>
      <c r="B174" s="52" t="s">
        <v>117</v>
      </c>
      <c r="C174" s="54" t="s">
        <v>107</v>
      </c>
      <c r="D174" s="49"/>
      <c r="E174" s="57"/>
      <c r="F174" s="49"/>
      <c r="G174" s="44" t="str">
        <f t="shared" si="1"/>
        <v/>
      </c>
      <c r="H174" s="46">
        <f t="shared" si="2"/>
        <v>0</v>
      </c>
      <c r="I174" s="47"/>
    </row>
    <row r="175" ht="15.75" customHeight="1">
      <c r="A175" s="51">
        <v>46394.0</v>
      </c>
      <c r="B175" s="52" t="s">
        <v>117</v>
      </c>
      <c r="C175" s="54" t="s">
        <v>28</v>
      </c>
      <c r="D175" s="49"/>
      <c r="E175" s="57"/>
      <c r="F175" s="49"/>
      <c r="G175" s="44" t="str">
        <f t="shared" si="1"/>
        <v/>
      </c>
      <c r="H175" s="46">
        <f t="shared" si="2"/>
        <v>0</v>
      </c>
      <c r="I175" s="47"/>
    </row>
    <row r="176" ht="15.75" customHeight="1">
      <c r="A176" s="51">
        <v>46394.0</v>
      </c>
      <c r="B176" s="52" t="s">
        <v>117</v>
      </c>
      <c r="C176" s="54" t="s">
        <v>51</v>
      </c>
      <c r="D176" s="49"/>
      <c r="E176" s="57"/>
      <c r="F176" s="49"/>
      <c r="G176" s="44" t="str">
        <f t="shared" si="1"/>
        <v/>
      </c>
      <c r="H176" s="46">
        <f t="shared" si="2"/>
        <v>0</v>
      </c>
      <c r="I176" s="47"/>
    </row>
    <row r="177" ht="15.75" customHeight="1">
      <c r="A177" s="51">
        <v>46394.0</v>
      </c>
      <c r="B177" s="52" t="s">
        <v>117</v>
      </c>
      <c r="C177" s="54" t="s">
        <v>24</v>
      </c>
      <c r="D177" s="49"/>
      <c r="E177" s="57"/>
      <c r="F177" s="49"/>
      <c r="G177" s="44" t="str">
        <f t="shared" si="1"/>
        <v/>
      </c>
      <c r="H177" s="46">
        <f t="shared" si="2"/>
        <v>0</v>
      </c>
      <c r="I177" s="47"/>
    </row>
    <row r="178" ht="15.75" customHeight="1">
      <c r="A178" s="38">
        <v>46401.0</v>
      </c>
      <c r="B178" s="39" t="s">
        <v>110</v>
      </c>
      <c r="C178" s="54" t="s">
        <v>13</v>
      </c>
      <c r="D178" s="49"/>
      <c r="E178" s="57"/>
      <c r="F178" s="49"/>
      <c r="G178" s="44" t="str">
        <f t="shared" si="1"/>
        <v/>
      </c>
      <c r="H178" s="46">
        <f t="shared" si="2"/>
        <v>0</v>
      </c>
      <c r="I178" s="47"/>
    </row>
    <row r="179" ht="15.75" customHeight="1">
      <c r="A179" s="38">
        <v>46401.0</v>
      </c>
      <c r="B179" s="39" t="s">
        <v>110</v>
      </c>
      <c r="C179" s="54" t="s">
        <v>17</v>
      </c>
      <c r="D179" s="49"/>
      <c r="E179" s="57"/>
      <c r="F179" s="49"/>
      <c r="G179" s="44" t="str">
        <f t="shared" si="1"/>
        <v/>
      </c>
      <c r="H179" s="46">
        <f t="shared" si="2"/>
        <v>0</v>
      </c>
      <c r="I179" s="47"/>
    </row>
    <row r="180" ht="15.75" customHeight="1">
      <c r="A180" s="38">
        <v>46401.0</v>
      </c>
      <c r="B180" s="39" t="s">
        <v>110</v>
      </c>
      <c r="C180" s="54" t="s">
        <v>39</v>
      </c>
      <c r="D180" s="49"/>
      <c r="E180" s="57"/>
      <c r="F180" s="49"/>
      <c r="G180" s="44" t="str">
        <f t="shared" si="1"/>
        <v/>
      </c>
      <c r="H180" s="46">
        <f t="shared" si="2"/>
        <v>0</v>
      </c>
      <c r="I180" s="47"/>
    </row>
    <row r="181" ht="15.75" customHeight="1">
      <c r="A181" s="38">
        <v>46401.0</v>
      </c>
      <c r="B181" s="39" t="s">
        <v>110</v>
      </c>
      <c r="C181" s="54" t="s">
        <v>54</v>
      </c>
      <c r="D181" s="49"/>
      <c r="E181" s="57"/>
      <c r="F181" s="49"/>
      <c r="G181" s="44" t="str">
        <f t="shared" si="1"/>
        <v/>
      </c>
      <c r="H181" s="46">
        <f t="shared" si="2"/>
        <v>0</v>
      </c>
      <c r="I181" s="47"/>
    </row>
    <row r="182" ht="15.75" customHeight="1">
      <c r="A182" s="51">
        <v>46401.0</v>
      </c>
      <c r="B182" s="52" t="s">
        <v>117</v>
      </c>
      <c r="C182" s="54" t="s">
        <v>21</v>
      </c>
      <c r="D182" s="49"/>
      <c r="E182" s="57"/>
      <c r="F182" s="49"/>
      <c r="G182" s="44" t="str">
        <f t="shared" si="1"/>
        <v/>
      </c>
      <c r="H182" s="46">
        <f t="shared" si="2"/>
        <v>0</v>
      </c>
      <c r="I182" s="47"/>
    </row>
    <row r="183" ht="15.75" customHeight="1">
      <c r="A183" s="51">
        <v>46401.0</v>
      </c>
      <c r="B183" s="52" t="s">
        <v>117</v>
      </c>
      <c r="C183" s="54" t="s">
        <v>107</v>
      </c>
      <c r="D183" s="49"/>
      <c r="E183" s="57"/>
      <c r="F183" s="49"/>
      <c r="G183" s="44" t="str">
        <f t="shared" si="1"/>
        <v/>
      </c>
      <c r="H183" s="46">
        <f t="shared" si="2"/>
        <v>0</v>
      </c>
      <c r="I183" s="47"/>
    </row>
    <row r="184" ht="15.75" customHeight="1">
      <c r="A184" s="51">
        <v>46401.0</v>
      </c>
      <c r="B184" s="52" t="s">
        <v>117</v>
      </c>
      <c r="C184" s="54" t="s">
        <v>28</v>
      </c>
      <c r="D184" s="49"/>
      <c r="E184" s="57"/>
      <c r="F184" s="49"/>
      <c r="G184" s="44" t="str">
        <f t="shared" si="1"/>
        <v/>
      </c>
      <c r="H184" s="46">
        <f t="shared" si="2"/>
        <v>0</v>
      </c>
      <c r="I184" s="47"/>
    </row>
    <row r="185" ht="15.75" customHeight="1">
      <c r="A185" s="51">
        <v>46401.0</v>
      </c>
      <c r="B185" s="52" t="s">
        <v>117</v>
      </c>
      <c r="C185" s="54" t="s">
        <v>51</v>
      </c>
      <c r="D185" s="49"/>
      <c r="E185" s="57"/>
      <c r="F185" s="49"/>
      <c r="G185" s="44" t="str">
        <f t="shared" si="1"/>
        <v/>
      </c>
      <c r="H185" s="46">
        <f t="shared" si="2"/>
        <v>0</v>
      </c>
      <c r="I185" s="47"/>
    </row>
    <row r="186" ht="15.75" customHeight="1">
      <c r="A186" s="51">
        <v>46401.0</v>
      </c>
      <c r="B186" s="52" t="s">
        <v>117</v>
      </c>
      <c r="C186" s="54" t="s">
        <v>24</v>
      </c>
      <c r="D186" s="49"/>
      <c r="E186" s="57"/>
      <c r="F186" s="49"/>
      <c r="G186" s="44" t="str">
        <f t="shared" si="1"/>
        <v/>
      </c>
      <c r="H186" s="46">
        <f t="shared" si="2"/>
        <v>0</v>
      </c>
      <c r="I186" s="47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G7:G186">
    <cfRule type="containsText" dxfId="6" priority="1" operator="containsText" text="Tidak">
      <formula>NOT(ISERROR(SEARCH(("Tidak"),(G7))))</formula>
    </cfRule>
  </conditionalFormatting>
  <conditionalFormatting sqref="G7:G186">
    <cfRule type="containsText" dxfId="5" priority="2" operator="containsText" text="Ya">
      <formula>NOT(ISERROR(SEARCH(("Ya"),(G7))))</formula>
    </cfRule>
  </conditionalFormatting>
  <dataValidations>
    <dataValidation type="list" allowBlank="1" sqref="B7:B186">
      <formula1>"Pagi,Siang"</formula1>
    </dataValidation>
    <dataValidation type="custom" allowBlank="1" sqref="E7:E186">
      <formula1>IF($D7="Tidak Hadir",$E7="",IF($D7="Hadir",AND($E7&lt;&gt;"",OR(TIMEVALUE(TEXT($E7,"hh:mm:ss"))=$E7,AND(ISNUMBER($E7),LEFT(CELL("format",$E7))="D"))),OR($E7="",OR(TIMEVALUE(TEXT($E7,"hh:mm:ss"))=$E7,AND(ISNUMBER($E7),LEFT(CELL("format",$E7))="D")))))</formula1>
    </dataValidation>
    <dataValidation type="custom" allowBlank="1" sqref="A7:A186">
      <formula1>OR(NOT(ISERROR(DATEVALUE(A7))), AND(ISNUMBER(A7), LEFT(CELL("format", A7))="D"))</formula1>
    </dataValidation>
    <dataValidation type="list" allowBlank="1" sqref="G7:G186">
      <formula1>"Ya,Tidak"</formula1>
    </dataValidation>
    <dataValidation type="list" allowBlank="1" sqref="F7:F186">
      <formula1>"Ya,Tidak"</formula1>
    </dataValidation>
    <dataValidation type="custom" allowBlank="1" sqref="H7:H186">
      <formula1/>
    </dataValidation>
    <dataValidation type="list" allowBlank="1" sqref="D7:D186">
      <formula1>"Hadir,Tidak Hadir"</formula1>
    </dataValidation>
    <dataValidation type="list" allowBlank="1" sqref="I7:I186">
      <formula1>"Lunas,Belum Lunas"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86"/>
    <col customWidth="1" min="2" max="2" width="11.71"/>
    <col customWidth="1" min="3" max="3" width="31.71"/>
    <col customWidth="1" min="4" max="4" width="16.0"/>
    <col customWidth="1" min="5" max="5" width="21.43"/>
    <col customWidth="1" min="6" max="6" width="20.86"/>
    <col customWidth="1" min="7" max="7" width="17.14"/>
    <col customWidth="1" min="8" max="8" width="21.0"/>
    <col customWidth="1" min="9" max="9" width="22.86"/>
  </cols>
  <sheetData>
    <row r="1" ht="18.0" customHeight="1">
      <c r="A1" s="60" t="s">
        <v>126</v>
      </c>
      <c r="B1" s="6"/>
      <c r="C1" s="6"/>
      <c r="D1" s="6"/>
      <c r="E1" s="6"/>
      <c r="F1" s="6"/>
      <c r="G1" s="6"/>
      <c r="H1" s="7"/>
    </row>
    <row r="2" ht="14.25" customHeight="1">
      <c r="A2" s="24" t="s">
        <v>127</v>
      </c>
    </row>
    <row r="3" ht="14.25" customHeight="1">
      <c r="A3" s="25" t="s">
        <v>84</v>
      </c>
      <c r="B3" s="26" t="s">
        <v>128</v>
      </c>
    </row>
    <row r="4" ht="14.25" customHeight="1">
      <c r="A4" s="25" t="s">
        <v>95</v>
      </c>
      <c r="B4" s="26" t="s">
        <v>129</v>
      </c>
    </row>
    <row r="6" ht="34.5" customHeight="1">
      <c r="A6" s="33" t="s">
        <v>97</v>
      </c>
      <c r="B6" s="33" t="s">
        <v>102</v>
      </c>
      <c r="C6" s="33" t="s">
        <v>8</v>
      </c>
      <c r="D6" s="33" t="s">
        <v>103</v>
      </c>
      <c r="E6" s="33" t="s">
        <v>104</v>
      </c>
      <c r="F6" s="33" t="s">
        <v>105</v>
      </c>
      <c r="G6" s="33" t="s">
        <v>106</v>
      </c>
      <c r="H6" s="33" t="s">
        <v>108</v>
      </c>
      <c r="I6" s="37" t="s">
        <v>109</v>
      </c>
    </row>
    <row r="7" ht="22.5" customHeight="1">
      <c r="A7" s="38">
        <v>46269.0</v>
      </c>
      <c r="B7" s="39" t="s">
        <v>110</v>
      </c>
      <c r="C7" s="54" t="s">
        <v>29</v>
      </c>
      <c r="D7" s="42"/>
      <c r="E7" s="43"/>
      <c r="F7" s="49"/>
      <c r="G7" s="44" t="str">
        <f t="shared" ref="G7:G186" si="1">IF($F7="Ya","Tidak",IF($D7="Tidak Hadir","Ya",IF($D7="","",IF($E7="",IF(NOW()&gt;$A7+IF($B7="Pagi",TIME(11,30,0),TIME(15,0,0)),"Ya",""),IF(IF(OR($C7="Alya Dwi Nurmiyati",$C7="Bagas Aryo Wicaksono",$C7="Dastin Rangga Berani",$C7="Fadhil Rusydi Hafizh",$C7="Febinadia Salsabila",$C7="Gusti Agung Ayu Savithri Nirmalasari",$C7="Maria Ellora Damarkasih",$C7="Mohammad Aqsha Dwinovryan",$C7="Najwa Aulia Putri",$C7="Reksa Utami",$C7="Surya Winaldi Yakin",$C7="Yossi Tri Rahmanda"),$E7&gt;IF($B7="Pagi",TIME(10,15,0),TIME(13,30,0)),$E7&gt;IF($B7="Pagi",TIME(10,30,0),TIME(13,45,0))),"Ya","Tidak")))))</f>
        <v/>
      </c>
      <c r="H7" s="46">
        <f t="shared" ref="H7:H186" si="2">IF($F7="Ya",0,IF($G7="Ya",IF($D7="Tidak Hadir",10000,IF($E7="",10000,5000)),0))</f>
        <v>0</v>
      </c>
      <c r="I7" s="47"/>
    </row>
    <row r="8" ht="22.5" customHeight="1">
      <c r="A8" s="38">
        <v>46269.0</v>
      </c>
      <c r="B8" s="39" t="s">
        <v>110</v>
      </c>
      <c r="C8" s="54" t="s">
        <v>19</v>
      </c>
      <c r="D8" s="42"/>
      <c r="E8" s="43"/>
      <c r="F8" s="49"/>
      <c r="G8" s="44" t="str">
        <f t="shared" si="1"/>
        <v/>
      </c>
      <c r="H8" s="46">
        <f t="shared" si="2"/>
        <v>0</v>
      </c>
      <c r="I8" s="47"/>
    </row>
    <row r="9" ht="22.5" customHeight="1">
      <c r="A9" s="38">
        <v>46269.0</v>
      </c>
      <c r="B9" s="39" t="s">
        <v>110</v>
      </c>
      <c r="C9" s="54" t="s">
        <v>27</v>
      </c>
      <c r="D9" s="42"/>
      <c r="E9" s="53"/>
      <c r="F9" s="49"/>
      <c r="G9" s="44" t="str">
        <f t="shared" si="1"/>
        <v/>
      </c>
      <c r="H9" s="46">
        <f t="shared" si="2"/>
        <v>0</v>
      </c>
      <c r="I9" s="47"/>
    </row>
    <row r="10" ht="22.5" customHeight="1">
      <c r="A10" s="38">
        <v>46269.0</v>
      </c>
      <c r="B10" s="39" t="s">
        <v>110</v>
      </c>
      <c r="C10" s="54" t="s">
        <v>42</v>
      </c>
      <c r="D10" s="49"/>
      <c r="E10" s="53"/>
      <c r="F10" s="49"/>
      <c r="G10" s="44" t="str">
        <f t="shared" si="1"/>
        <v/>
      </c>
      <c r="H10" s="46">
        <f t="shared" si="2"/>
        <v>0</v>
      </c>
      <c r="I10" s="47"/>
    </row>
    <row r="11" ht="22.5" customHeight="1">
      <c r="A11" s="51">
        <v>46269.0</v>
      </c>
      <c r="B11" s="52" t="s">
        <v>117</v>
      </c>
      <c r="C11" s="54" t="s">
        <v>44</v>
      </c>
      <c r="D11" s="42" t="s">
        <v>114</v>
      </c>
      <c r="E11" s="43">
        <v>0.5465277777777777</v>
      </c>
      <c r="F11" s="49"/>
      <c r="G11" s="44" t="str">
        <f t="shared" si="1"/>
        <v>Tidak</v>
      </c>
      <c r="H11" s="46">
        <f t="shared" si="2"/>
        <v>0</v>
      </c>
      <c r="I11" s="47"/>
    </row>
    <row r="12" ht="22.5" customHeight="1">
      <c r="A12" s="51">
        <v>46269.0</v>
      </c>
      <c r="B12" s="52" t="s">
        <v>117</v>
      </c>
      <c r="C12" s="54" t="s">
        <v>43</v>
      </c>
      <c r="D12" s="49"/>
      <c r="E12" s="53"/>
      <c r="F12" s="49"/>
      <c r="G12" s="44" t="str">
        <f t="shared" si="1"/>
        <v/>
      </c>
      <c r="H12" s="46">
        <f t="shared" si="2"/>
        <v>0</v>
      </c>
      <c r="I12" s="47"/>
    </row>
    <row r="13" ht="22.5" customHeight="1">
      <c r="A13" s="51">
        <v>46269.0</v>
      </c>
      <c r="B13" s="52" t="s">
        <v>117</v>
      </c>
      <c r="C13" s="54" t="s">
        <v>45</v>
      </c>
      <c r="D13" s="49"/>
      <c r="E13" s="53"/>
      <c r="F13" s="49"/>
      <c r="G13" s="44" t="str">
        <f t="shared" si="1"/>
        <v/>
      </c>
      <c r="H13" s="46">
        <f t="shared" si="2"/>
        <v>0</v>
      </c>
      <c r="I13" s="47"/>
    </row>
    <row r="14" ht="22.5" customHeight="1">
      <c r="A14" s="51">
        <v>46269.0</v>
      </c>
      <c r="B14" s="52" t="s">
        <v>117</v>
      </c>
      <c r="C14" s="54" t="s">
        <v>26</v>
      </c>
      <c r="D14" s="49"/>
      <c r="E14" s="53"/>
      <c r="F14" s="49"/>
      <c r="G14" s="44" t="str">
        <f t="shared" si="1"/>
        <v/>
      </c>
      <c r="H14" s="46">
        <f t="shared" si="2"/>
        <v>0</v>
      </c>
      <c r="I14" s="47"/>
    </row>
    <row r="15" ht="22.5" customHeight="1">
      <c r="A15" s="51">
        <v>46269.0</v>
      </c>
      <c r="B15" s="52" t="s">
        <v>117</v>
      </c>
      <c r="C15" s="54" t="s">
        <v>14</v>
      </c>
      <c r="D15" s="49"/>
      <c r="E15" s="53"/>
      <c r="F15" s="49"/>
      <c r="G15" s="44" t="str">
        <f t="shared" si="1"/>
        <v/>
      </c>
      <c r="H15" s="46">
        <f t="shared" si="2"/>
        <v>0</v>
      </c>
      <c r="I15" s="47"/>
    </row>
    <row r="16" ht="15.75" customHeight="1">
      <c r="A16" s="38">
        <v>46276.0</v>
      </c>
      <c r="B16" s="39" t="s">
        <v>110</v>
      </c>
      <c r="C16" s="54" t="s">
        <v>29</v>
      </c>
      <c r="D16" s="49"/>
      <c r="E16" s="53"/>
      <c r="F16" s="49"/>
      <c r="G16" s="44" t="str">
        <f t="shared" si="1"/>
        <v/>
      </c>
      <c r="H16" s="46">
        <f t="shared" si="2"/>
        <v>0</v>
      </c>
      <c r="I16" s="47"/>
    </row>
    <row r="17" ht="15.75" customHeight="1">
      <c r="A17" s="38">
        <v>46276.0</v>
      </c>
      <c r="B17" s="39" t="s">
        <v>110</v>
      </c>
      <c r="C17" s="54" t="s">
        <v>19</v>
      </c>
      <c r="D17" s="49"/>
      <c r="E17" s="53"/>
      <c r="F17" s="49"/>
      <c r="G17" s="44" t="str">
        <f t="shared" si="1"/>
        <v/>
      </c>
      <c r="H17" s="46">
        <f t="shared" si="2"/>
        <v>0</v>
      </c>
      <c r="I17" s="47"/>
    </row>
    <row r="18" ht="15.75" customHeight="1">
      <c r="A18" s="38">
        <v>46276.0</v>
      </c>
      <c r="B18" s="39" t="s">
        <v>110</v>
      </c>
      <c r="C18" s="54" t="s">
        <v>27</v>
      </c>
      <c r="D18" s="49"/>
      <c r="E18" s="53"/>
      <c r="F18" s="49"/>
      <c r="G18" s="44" t="str">
        <f t="shared" si="1"/>
        <v/>
      </c>
      <c r="H18" s="46">
        <f t="shared" si="2"/>
        <v>0</v>
      </c>
      <c r="I18" s="47"/>
    </row>
    <row r="19" ht="15.75" customHeight="1">
      <c r="A19" s="38">
        <v>46276.0</v>
      </c>
      <c r="B19" s="39" t="s">
        <v>110</v>
      </c>
      <c r="C19" s="54" t="s">
        <v>42</v>
      </c>
      <c r="D19" s="49"/>
      <c r="E19" s="53"/>
      <c r="F19" s="49"/>
      <c r="G19" s="44" t="str">
        <f t="shared" si="1"/>
        <v/>
      </c>
      <c r="H19" s="46">
        <f t="shared" si="2"/>
        <v>0</v>
      </c>
      <c r="I19" s="47"/>
    </row>
    <row r="20" ht="15.75" customHeight="1">
      <c r="A20" s="51">
        <v>46276.0</v>
      </c>
      <c r="B20" s="52" t="s">
        <v>117</v>
      </c>
      <c r="C20" s="54" t="s">
        <v>44</v>
      </c>
      <c r="D20" s="42" t="s">
        <v>114</v>
      </c>
      <c r="E20" s="43">
        <v>0.5493055555555556</v>
      </c>
      <c r="F20" s="49"/>
      <c r="G20" s="44" t="str">
        <f t="shared" si="1"/>
        <v>Tidak</v>
      </c>
      <c r="H20" s="46">
        <f t="shared" si="2"/>
        <v>0</v>
      </c>
      <c r="I20" s="47"/>
    </row>
    <row r="21" ht="15.75" customHeight="1">
      <c r="A21" s="51">
        <v>46276.0</v>
      </c>
      <c r="B21" s="52" t="s">
        <v>117</v>
      </c>
      <c r="C21" s="54" t="s">
        <v>43</v>
      </c>
      <c r="D21" s="49"/>
      <c r="E21" s="53"/>
      <c r="F21" s="49"/>
      <c r="G21" s="44" t="str">
        <f t="shared" si="1"/>
        <v/>
      </c>
      <c r="H21" s="46">
        <f t="shared" si="2"/>
        <v>0</v>
      </c>
      <c r="I21" s="47"/>
    </row>
    <row r="22" ht="15.75" customHeight="1">
      <c r="A22" s="51">
        <v>46276.0</v>
      </c>
      <c r="B22" s="52" t="s">
        <v>117</v>
      </c>
      <c r="C22" s="54" t="s">
        <v>45</v>
      </c>
      <c r="D22" s="49"/>
      <c r="E22" s="53"/>
      <c r="F22" s="49"/>
      <c r="G22" s="44" t="str">
        <f t="shared" si="1"/>
        <v/>
      </c>
      <c r="H22" s="46">
        <f t="shared" si="2"/>
        <v>0</v>
      </c>
      <c r="I22" s="47"/>
    </row>
    <row r="23" ht="15.75" customHeight="1">
      <c r="A23" s="51">
        <v>46276.0</v>
      </c>
      <c r="B23" s="52" t="s">
        <v>117</v>
      </c>
      <c r="C23" s="54" t="s">
        <v>26</v>
      </c>
      <c r="D23" s="49"/>
      <c r="E23" s="53"/>
      <c r="F23" s="49"/>
      <c r="G23" s="44" t="str">
        <f t="shared" si="1"/>
        <v/>
      </c>
      <c r="H23" s="46">
        <f t="shared" si="2"/>
        <v>0</v>
      </c>
      <c r="I23" s="47"/>
    </row>
    <row r="24" ht="15.75" customHeight="1">
      <c r="A24" s="51">
        <v>46276.0</v>
      </c>
      <c r="B24" s="52" t="s">
        <v>117</v>
      </c>
      <c r="C24" s="54" t="s">
        <v>14</v>
      </c>
      <c r="D24" s="49"/>
      <c r="E24" s="53"/>
      <c r="F24" s="49"/>
      <c r="G24" s="44" t="str">
        <f t="shared" si="1"/>
        <v/>
      </c>
      <c r="H24" s="46">
        <f t="shared" si="2"/>
        <v>0</v>
      </c>
      <c r="I24" s="47"/>
    </row>
    <row r="25" ht="15.75" customHeight="1">
      <c r="A25" s="38">
        <v>46283.0</v>
      </c>
      <c r="B25" s="39" t="s">
        <v>110</v>
      </c>
      <c r="C25" s="54" t="s">
        <v>29</v>
      </c>
      <c r="D25" s="49"/>
      <c r="E25" s="53"/>
      <c r="F25" s="49"/>
      <c r="G25" s="44" t="str">
        <f t="shared" si="1"/>
        <v/>
      </c>
      <c r="H25" s="46">
        <f t="shared" si="2"/>
        <v>0</v>
      </c>
      <c r="I25" s="47"/>
    </row>
    <row r="26" ht="15.75" customHeight="1">
      <c r="A26" s="38">
        <v>46283.0</v>
      </c>
      <c r="B26" s="39" t="s">
        <v>110</v>
      </c>
      <c r="C26" s="54" t="s">
        <v>19</v>
      </c>
      <c r="D26" s="49"/>
      <c r="E26" s="53"/>
      <c r="F26" s="49"/>
      <c r="G26" s="44" t="str">
        <f t="shared" si="1"/>
        <v/>
      </c>
      <c r="H26" s="46">
        <f t="shared" si="2"/>
        <v>0</v>
      </c>
      <c r="I26" s="47"/>
    </row>
    <row r="27" ht="15.75" customHeight="1">
      <c r="A27" s="38">
        <v>46283.0</v>
      </c>
      <c r="B27" s="39" t="s">
        <v>110</v>
      </c>
      <c r="C27" s="54" t="s">
        <v>27</v>
      </c>
      <c r="D27" s="49"/>
      <c r="E27" s="53"/>
      <c r="F27" s="49"/>
      <c r="G27" s="44" t="str">
        <f t="shared" si="1"/>
        <v/>
      </c>
      <c r="H27" s="46">
        <f t="shared" si="2"/>
        <v>0</v>
      </c>
      <c r="I27" s="47"/>
    </row>
    <row r="28" ht="15.75" customHeight="1">
      <c r="A28" s="38">
        <v>46283.0</v>
      </c>
      <c r="B28" s="39" t="s">
        <v>110</v>
      </c>
      <c r="C28" s="54" t="s">
        <v>42</v>
      </c>
      <c r="D28" s="49"/>
      <c r="E28" s="53"/>
      <c r="F28" s="49"/>
      <c r="G28" s="44" t="str">
        <f t="shared" si="1"/>
        <v/>
      </c>
      <c r="H28" s="46">
        <f t="shared" si="2"/>
        <v>0</v>
      </c>
      <c r="I28" s="47"/>
    </row>
    <row r="29" ht="15.75" customHeight="1">
      <c r="A29" s="51">
        <v>46283.0</v>
      </c>
      <c r="B29" s="52" t="s">
        <v>117</v>
      </c>
      <c r="C29" s="54" t="s">
        <v>44</v>
      </c>
      <c r="D29" s="49"/>
      <c r="E29" s="53"/>
      <c r="F29" s="49"/>
      <c r="G29" s="44" t="str">
        <f t="shared" si="1"/>
        <v/>
      </c>
      <c r="H29" s="46">
        <f t="shared" si="2"/>
        <v>0</v>
      </c>
      <c r="I29" s="47"/>
    </row>
    <row r="30" ht="15.75" customHeight="1">
      <c r="A30" s="51">
        <v>46283.0</v>
      </c>
      <c r="B30" s="52" t="s">
        <v>117</v>
      </c>
      <c r="C30" s="54" t="s">
        <v>43</v>
      </c>
      <c r="D30" s="49"/>
      <c r="E30" s="53"/>
      <c r="F30" s="49"/>
      <c r="G30" s="44" t="str">
        <f t="shared" si="1"/>
        <v/>
      </c>
      <c r="H30" s="46">
        <f t="shared" si="2"/>
        <v>0</v>
      </c>
      <c r="I30" s="47"/>
    </row>
    <row r="31" ht="15.75" customHeight="1">
      <c r="A31" s="51">
        <v>46283.0</v>
      </c>
      <c r="B31" s="52" t="s">
        <v>117</v>
      </c>
      <c r="C31" s="54" t="s">
        <v>45</v>
      </c>
      <c r="D31" s="49"/>
      <c r="E31" s="53"/>
      <c r="F31" s="49"/>
      <c r="G31" s="44" t="str">
        <f t="shared" si="1"/>
        <v/>
      </c>
      <c r="H31" s="46">
        <f t="shared" si="2"/>
        <v>0</v>
      </c>
      <c r="I31" s="47"/>
    </row>
    <row r="32" ht="15.75" customHeight="1">
      <c r="A32" s="51">
        <v>46283.0</v>
      </c>
      <c r="B32" s="52" t="s">
        <v>117</v>
      </c>
      <c r="C32" s="54" t="s">
        <v>26</v>
      </c>
      <c r="D32" s="49"/>
      <c r="E32" s="53"/>
      <c r="F32" s="49"/>
      <c r="G32" s="44" t="str">
        <f t="shared" si="1"/>
        <v/>
      </c>
      <c r="H32" s="46">
        <f t="shared" si="2"/>
        <v>0</v>
      </c>
      <c r="I32" s="47"/>
    </row>
    <row r="33" ht="15.75" customHeight="1">
      <c r="A33" s="51">
        <v>46283.0</v>
      </c>
      <c r="B33" s="52" t="s">
        <v>117</v>
      </c>
      <c r="C33" s="54" t="s">
        <v>14</v>
      </c>
      <c r="D33" s="49"/>
      <c r="E33" s="53"/>
      <c r="F33" s="49"/>
      <c r="G33" s="44" t="str">
        <f t="shared" si="1"/>
        <v/>
      </c>
      <c r="H33" s="46">
        <f t="shared" si="2"/>
        <v>0</v>
      </c>
      <c r="I33" s="47"/>
    </row>
    <row r="34" ht="15.75" customHeight="1">
      <c r="A34" s="38">
        <v>46290.0</v>
      </c>
      <c r="B34" s="39" t="s">
        <v>110</v>
      </c>
      <c r="C34" s="54" t="s">
        <v>29</v>
      </c>
      <c r="D34" s="49"/>
      <c r="E34" s="53"/>
      <c r="F34" s="49"/>
      <c r="G34" s="44" t="str">
        <f t="shared" si="1"/>
        <v/>
      </c>
      <c r="H34" s="46">
        <f t="shared" si="2"/>
        <v>0</v>
      </c>
      <c r="I34" s="47"/>
    </row>
    <row r="35" ht="15.75" customHeight="1">
      <c r="A35" s="38">
        <v>46290.0</v>
      </c>
      <c r="B35" s="39" t="s">
        <v>110</v>
      </c>
      <c r="C35" s="54" t="s">
        <v>19</v>
      </c>
      <c r="D35" s="49"/>
      <c r="E35" s="53"/>
      <c r="F35" s="49"/>
      <c r="G35" s="44" t="str">
        <f t="shared" si="1"/>
        <v/>
      </c>
      <c r="H35" s="46">
        <f t="shared" si="2"/>
        <v>0</v>
      </c>
      <c r="I35" s="47"/>
    </row>
    <row r="36" ht="15.75" customHeight="1">
      <c r="A36" s="38">
        <v>46290.0</v>
      </c>
      <c r="B36" s="39" t="s">
        <v>110</v>
      </c>
      <c r="C36" s="54" t="s">
        <v>27</v>
      </c>
      <c r="D36" s="49"/>
      <c r="E36" s="53"/>
      <c r="F36" s="49"/>
      <c r="G36" s="44" t="str">
        <f t="shared" si="1"/>
        <v/>
      </c>
      <c r="H36" s="46">
        <f t="shared" si="2"/>
        <v>0</v>
      </c>
      <c r="I36" s="47"/>
    </row>
    <row r="37" ht="15.75" customHeight="1">
      <c r="A37" s="38">
        <v>46290.0</v>
      </c>
      <c r="B37" s="39" t="s">
        <v>110</v>
      </c>
      <c r="C37" s="54" t="s">
        <v>42</v>
      </c>
      <c r="D37" s="49"/>
      <c r="E37" s="53"/>
      <c r="F37" s="49"/>
      <c r="G37" s="44" t="str">
        <f t="shared" si="1"/>
        <v/>
      </c>
      <c r="H37" s="46">
        <f t="shared" si="2"/>
        <v>0</v>
      </c>
      <c r="I37" s="47"/>
    </row>
    <row r="38" ht="15.75" customHeight="1">
      <c r="A38" s="51">
        <v>46290.0</v>
      </c>
      <c r="B38" s="52" t="s">
        <v>117</v>
      </c>
      <c r="C38" s="54" t="s">
        <v>44</v>
      </c>
      <c r="D38" s="49"/>
      <c r="E38" s="53"/>
      <c r="F38" s="49"/>
      <c r="G38" s="44" t="str">
        <f t="shared" si="1"/>
        <v/>
      </c>
      <c r="H38" s="46">
        <f t="shared" si="2"/>
        <v>0</v>
      </c>
      <c r="I38" s="47"/>
    </row>
    <row r="39" ht="15.75" customHeight="1">
      <c r="A39" s="51">
        <v>46290.0</v>
      </c>
      <c r="B39" s="52" t="s">
        <v>117</v>
      </c>
      <c r="C39" s="54" t="s">
        <v>43</v>
      </c>
      <c r="D39" s="49"/>
      <c r="E39" s="53"/>
      <c r="F39" s="49"/>
      <c r="G39" s="44" t="str">
        <f t="shared" si="1"/>
        <v/>
      </c>
      <c r="H39" s="46">
        <f t="shared" si="2"/>
        <v>0</v>
      </c>
      <c r="I39" s="47"/>
    </row>
    <row r="40" ht="15.75" customHeight="1">
      <c r="A40" s="51">
        <v>46290.0</v>
      </c>
      <c r="B40" s="52" t="s">
        <v>117</v>
      </c>
      <c r="C40" s="54" t="s">
        <v>45</v>
      </c>
      <c r="D40" s="49"/>
      <c r="E40" s="53"/>
      <c r="F40" s="49"/>
      <c r="G40" s="44" t="str">
        <f t="shared" si="1"/>
        <v/>
      </c>
      <c r="H40" s="46">
        <f t="shared" si="2"/>
        <v>0</v>
      </c>
      <c r="I40" s="47"/>
    </row>
    <row r="41" ht="15.75" customHeight="1">
      <c r="A41" s="51">
        <v>46290.0</v>
      </c>
      <c r="B41" s="52" t="s">
        <v>117</v>
      </c>
      <c r="C41" s="54" t="s">
        <v>26</v>
      </c>
      <c r="D41" s="49"/>
      <c r="E41" s="53"/>
      <c r="F41" s="49"/>
      <c r="G41" s="44" t="str">
        <f t="shared" si="1"/>
        <v/>
      </c>
      <c r="H41" s="46">
        <f t="shared" si="2"/>
        <v>0</v>
      </c>
      <c r="I41" s="47"/>
    </row>
    <row r="42" ht="15.75" customHeight="1">
      <c r="A42" s="51">
        <v>46290.0</v>
      </c>
      <c r="B42" s="52" t="s">
        <v>117</v>
      </c>
      <c r="C42" s="54" t="s">
        <v>14</v>
      </c>
      <c r="D42" s="49"/>
      <c r="E42" s="53"/>
      <c r="F42" s="49"/>
      <c r="G42" s="44" t="str">
        <f t="shared" si="1"/>
        <v/>
      </c>
      <c r="H42" s="46">
        <f t="shared" si="2"/>
        <v>0</v>
      </c>
      <c r="I42" s="47"/>
    </row>
    <row r="43" ht="15.75" customHeight="1">
      <c r="A43" s="38">
        <v>46297.0</v>
      </c>
      <c r="B43" s="39" t="s">
        <v>110</v>
      </c>
      <c r="C43" s="54" t="s">
        <v>29</v>
      </c>
      <c r="D43" s="49"/>
      <c r="E43" s="53"/>
      <c r="F43" s="49"/>
      <c r="G43" s="44" t="str">
        <f t="shared" si="1"/>
        <v/>
      </c>
      <c r="H43" s="46">
        <f t="shared" si="2"/>
        <v>0</v>
      </c>
      <c r="I43" s="47"/>
    </row>
    <row r="44" ht="15.75" customHeight="1">
      <c r="A44" s="38">
        <v>46297.0</v>
      </c>
      <c r="B44" s="39" t="s">
        <v>110</v>
      </c>
      <c r="C44" s="54" t="s">
        <v>19</v>
      </c>
      <c r="D44" s="49"/>
      <c r="E44" s="53"/>
      <c r="F44" s="49"/>
      <c r="G44" s="44" t="str">
        <f t="shared" si="1"/>
        <v/>
      </c>
      <c r="H44" s="46">
        <f t="shared" si="2"/>
        <v>0</v>
      </c>
      <c r="I44" s="47"/>
    </row>
    <row r="45" ht="15.75" customHeight="1">
      <c r="A45" s="38">
        <v>46297.0</v>
      </c>
      <c r="B45" s="39" t="s">
        <v>110</v>
      </c>
      <c r="C45" s="54" t="s">
        <v>27</v>
      </c>
      <c r="D45" s="49"/>
      <c r="E45" s="53"/>
      <c r="F45" s="49"/>
      <c r="G45" s="44" t="str">
        <f t="shared" si="1"/>
        <v/>
      </c>
      <c r="H45" s="46">
        <f t="shared" si="2"/>
        <v>0</v>
      </c>
      <c r="I45" s="47"/>
    </row>
    <row r="46" ht="15.75" customHeight="1">
      <c r="A46" s="38">
        <v>46297.0</v>
      </c>
      <c r="B46" s="39" t="s">
        <v>110</v>
      </c>
      <c r="C46" s="54" t="s">
        <v>42</v>
      </c>
      <c r="D46" s="49"/>
      <c r="E46" s="53"/>
      <c r="F46" s="49"/>
      <c r="G46" s="44" t="str">
        <f t="shared" si="1"/>
        <v/>
      </c>
      <c r="H46" s="46">
        <f t="shared" si="2"/>
        <v>0</v>
      </c>
      <c r="I46" s="47"/>
    </row>
    <row r="47" ht="15.75" customHeight="1">
      <c r="A47" s="51">
        <v>46297.0</v>
      </c>
      <c r="B47" s="52" t="s">
        <v>117</v>
      </c>
      <c r="C47" s="54" t="s">
        <v>44</v>
      </c>
      <c r="D47" s="49"/>
      <c r="E47" s="53"/>
      <c r="F47" s="49"/>
      <c r="G47" s="44" t="str">
        <f t="shared" si="1"/>
        <v/>
      </c>
      <c r="H47" s="46">
        <f t="shared" si="2"/>
        <v>0</v>
      </c>
      <c r="I47" s="47"/>
    </row>
    <row r="48" ht="15.75" customHeight="1">
      <c r="A48" s="51">
        <v>46297.0</v>
      </c>
      <c r="B48" s="52" t="s">
        <v>117</v>
      </c>
      <c r="C48" s="54" t="s">
        <v>43</v>
      </c>
      <c r="D48" s="49"/>
      <c r="E48" s="53"/>
      <c r="F48" s="49"/>
      <c r="G48" s="44" t="str">
        <f t="shared" si="1"/>
        <v/>
      </c>
      <c r="H48" s="46">
        <f t="shared" si="2"/>
        <v>0</v>
      </c>
      <c r="I48" s="47"/>
    </row>
    <row r="49" ht="15.75" customHeight="1">
      <c r="A49" s="51">
        <v>46297.0</v>
      </c>
      <c r="B49" s="52" t="s">
        <v>117</v>
      </c>
      <c r="C49" s="54" t="s">
        <v>45</v>
      </c>
      <c r="D49" s="49"/>
      <c r="E49" s="53"/>
      <c r="F49" s="49"/>
      <c r="G49" s="44" t="str">
        <f t="shared" si="1"/>
        <v/>
      </c>
      <c r="H49" s="46">
        <f t="shared" si="2"/>
        <v>0</v>
      </c>
      <c r="I49" s="47"/>
    </row>
    <row r="50" ht="15.75" customHeight="1">
      <c r="A50" s="51">
        <v>46297.0</v>
      </c>
      <c r="B50" s="52" t="s">
        <v>117</v>
      </c>
      <c r="C50" s="54" t="s">
        <v>26</v>
      </c>
      <c r="D50" s="49"/>
      <c r="E50" s="53"/>
      <c r="F50" s="49"/>
      <c r="G50" s="44" t="str">
        <f t="shared" si="1"/>
        <v/>
      </c>
      <c r="H50" s="46">
        <f t="shared" si="2"/>
        <v>0</v>
      </c>
      <c r="I50" s="47"/>
    </row>
    <row r="51" ht="15.75" customHeight="1">
      <c r="A51" s="51">
        <v>46297.0</v>
      </c>
      <c r="B51" s="52" t="s">
        <v>117</v>
      </c>
      <c r="C51" s="54" t="s">
        <v>14</v>
      </c>
      <c r="D51" s="49"/>
      <c r="E51" s="53"/>
      <c r="F51" s="49"/>
      <c r="G51" s="44" t="str">
        <f t="shared" si="1"/>
        <v/>
      </c>
      <c r="H51" s="46">
        <f t="shared" si="2"/>
        <v>0</v>
      </c>
      <c r="I51" s="47"/>
    </row>
    <row r="52" ht="15.75" customHeight="1">
      <c r="A52" s="38">
        <v>46304.0</v>
      </c>
      <c r="B52" s="39" t="s">
        <v>110</v>
      </c>
      <c r="C52" s="54" t="s">
        <v>29</v>
      </c>
      <c r="D52" s="49"/>
      <c r="E52" s="53"/>
      <c r="F52" s="49"/>
      <c r="G52" s="44" t="str">
        <f t="shared" si="1"/>
        <v/>
      </c>
      <c r="H52" s="46">
        <f t="shared" si="2"/>
        <v>0</v>
      </c>
      <c r="I52" s="47"/>
    </row>
    <row r="53" ht="15.75" customHeight="1">
      <c r="A53" s="38">
        <v>46304.0</v>
      </c>
      <c r="B53" s="39" t="s">
        <v>110</v>
      </c>
      <c r="C53" s="54" t="s">
        <v>19</v>
      </c>
      <c r="D53" s="49"/>
      <c r="E53" s="53"/>
      <c r="F53" s="49"/>
      <c r="G53" s="44" t="str">
        <f t="shared" si="1"/>
        <v/>
      </c>
      <c r="H53" s="46">
        <f t="shared" si="2"/>
        <v>0</v>
      </c>
      <c r="I53" s="47"/>
    </row>
    <row r="54" ht="15.75" customHeight="1">
      <c r="A54" s="38">
        <v>46304.0</v>
      </c>
      <c r="B54" s="39" t="s">
        <v>110</v>
      </c>
      <c r="C54" s="54" t="s">
        <v>27</v>
      </c>
      <c r="D54" s="49"/>
      <c r="E54" s="53"/>
      <c r="F54" s="49"/>
      <c r="G54" s="44" t="str">
        <f t="shared" si="1"/>
        <v/>
      </c>
      <c r="H54" s="46">
        <f t="shared" si="2"/>
        <v>0</v>
      </c>
      <c r="I54" s="47"/>
    </row>
    <row r="55" ht="15.75" customHeight="1">
      <c r="A55" s="38">
        <v>46304.0</v>
      </c>
      <c r="B55" s="39" t="s">
        <v>110</v>
      </c>
      <c r="C55" s="54" t="s">
        <v>42</v>
      </c>
      <c r="D55" s="49"/>
      <c r="E55" s="53"/>
      <c r="F55" s="49"/>
      <c r="G55" s="44" t="str">
        <f t="shared" si="1"/>
        <v/>
      </c>
      <c r="H55" s="46">
        <f t="shared" si="2"/>
        <v>0</v>
      </c>
      <c r="I55" s="47"/>
    </row>
    <row r="56" ht="15.75" customHeight="1">
      <c r="A56" s="51">
        <v>46304.0</v>
      </c>
      <c r="B56" s="52" t="s">
        <v>117</v>
      </c>
      <c r="C56" s="54" t="s">
        <v>44</v>
      </c>
      <c r="D56" s="49"/>
      <c r="E56" s="53"/>
      <c r="F56" s="49"/>
      <c r="G56" s="44" t="str">
        <f t="shared" si="1"/>
        <v/>
      </c>
      <c r="H56" s="46">
        <f t="shared" si="2"/>
        <v>0</v>
      </c>
      <c r="I56" s="47"/>
    </row>
    <row r="57" ht="15.75" customHeight="1">
      <c r="A57" s="51">
        <v>46304.0</v>
      </c>
      <c r="B57" s="52" t="s">
        <v>117</v>
      </c>
      <c r="C57" s="54" t="s">
        <v>43</v>
      </c>
      <c r="D57" s="49"/>
      <c r="E57" s="53"/>
      <c r="F57" s="49"/>
      <c r="G57" s="44" t="str">
        <f t="shared" si="1"/>
        <v/>
      </c>
      <c r="H57" s="46">
        <f t="shared" si="2"/>
        <v>0</v>
      </c>
      <c r="I57" s="47"/>
    </row>
    <row r="58" ht="15.75" customHeight="1">
      <c r="A58" s="51">
        <v>46304.0</v>
      </c>
      <c r="B58" s="52" t="s">
        <v>117</v>
      </c>
      <c r="C58" s="54" t="s">
        <v>45</v>
      </c>
      <c r="D58" s="49"/>
      <c r="E58" s="53"/>
      <c r="F58" s="49"/>
      <c r="G58" s="44" t="str">
        <f t="shared" si="1"/>
        <v/>
      </c>
      <c r="H58" s="46">
        <f t="shared" si="2"/>
        <v>0</v>
      </c>
      <c r="I58" s="47"/>
    </row>
    <row r="59" ht="15.75" customHeight="1">
      <c r="A59" s="51">
        <v>46304.0</v>
      </c>
      <c r="B59" s="52" t="s">
        <v>117</v>
      </c>
      <c r="C59" s="54" t="s">
        <v>26</v>
      </c>
      <c r="D59" s="49"/>
      <c r="E59" s="53"/>
      <c r="F59" s="49"/>
      <c r="G59" s="44" t="str">
        <f t="shared" si="1"/>
        <v/>
      </c>
      <c r="H59" s="46">
        <f t="shared" si="2"/>
        <v>0</v>
      </c>
      <c r="I59" s="47"/>
    </row>
    <row r="60" ht="15.75" customHeight="1">
      <c r="A60" s="51">
        <v>46304.0</v>
      </c>
      <c r="B60" s="52" t="s">
        <v>117</v>
      </c>
      <c r="C60" s="54" t="s">
        <v>14</v>
      </c>
      <c r="D60" s="49"/>
      <c r="E60" s="53"/>
      <c r="F60" s="49"/>
      <c r="G60" s="44" t="str">
        <f t="shared" si="1"/>
        <v/>
      </c>
      <c r="H60" s="46">
        <f t="shared" si="2"/>
        <v>0</v>
      </c>
      <c r="I60" s="47"/>
    </row>
    <row r="61" ht="15.75" customHeight="1">
      <c r="A61" s="38">
        <v>46311.0</v>
      </c>
      <c r="B61" s="39" t="s">
        <v>110</v>
      </c>
      <c r="C61" s="54" t="s">
        <v>29</v>
      </c>
      <c r="D61" s="49"/>
      <c r="E61" s="53"/>
      <c r="F61" s="49"/>
      <c r="G61" s="44" t="str">
        <f t="shared" si="1"/>
        <v/>
      </c>
      <c r="H61" s="46">
        <f t="shared" si="2"/>
        <v>0</v>
      </c>
      <c r="I61" s="47"/>
    </row>
    <row r="62" ht="15.75" customHeight="1">
      <c r="A62" s="38">
        <v>46311.0</v>
      </c>
      <c r="B62" s="39" t="s">
        <v>110</v>
      </c>
      <c r="C62" s="54" t="s">
        <v>19</v>
      </c>
      <c r="D62" s="49"/>
      <c r="E62" s="53"/>
      <c r="F62" s="49"/>
      <c r="G62" s="44" t="str">
        <f t="shared" si="1"/>
        <v/>
      </c>
      <c r="H62" s="46">
        <f t="shared" si="2"/>
        <v>0</v>
      </c>
      <c r="I62" s="47"/>
    </row>
    <row r="63" ht="15.75" customHeight="1">
      <c r="A63" s="38">
        <v>46311.0</v>
      </c>
      <c r="B63" s="39" t="s">
        <v>110</v>
      </c>
      <c r="C63" s="54" t="s">
        <v>27</v>
      </c>
      <c r="D63" s="49"/>
      <c r="E63" s="53"/>
      <c r="F63" s="49"/>
      <c r="G63" s="44" t="str">
        <f t="shared" si="1"/>
        <v/>
      </c>
      <c r="H63" s="46">
        <f t="shared" si="2"/>
        <v>0</v>
      </c>
      <c r="I63" s="47"/>
    </row>
    <row r="64" ht="15.75" customHeight="1">
      <c r="A64" s="38">
        <v>46311.0</v>
      </c>
      <c r="B64" s="39" t="s">
        <v>110</v>
      </c>
      <c r="C64" s="54" t="s">
        <v>42</v>
      </c>
      <c r="D64" s="49"/>
      <c r="E64" s="53"/>
      <c r="F64" s="49"/>
      <c r="G64" s="44" t="str">
        <f t="shared" si="1"/>
        <v/>
      </c>
      <c r="H64" s="46">
        <f t="shared" si="2"/>
        <v>0</v>
      </c>
      <c r="I64" s="47"/>
    </row>
    <row r="65" ht="15.75" customHeight="1">
      <c r="A65" s="51">
        <v>46311.0</v>
      </c>
      <c r="B65" s="52" t="s">
        <v>117</v>
      </c>
      <c r="C65" s="54" t="s">
        <v>44</v>
      </c>
      <c r="D65" s="49"/>
      <c r="E65" s="53"/>
      <c r="F65" s="49"/>
      <c r="G65" s="44" t="str">
        <f t="shared" si="1"/>
        <v/>
      </c>
      <c r="H65" s="46">
        <f t="shared" si="2"/>
        <v>0</v>
      </c>
      <c r="I65" s="47"/>
    </row>
    <row r="66" ht="15.75" customHeight="1">
      <c r="A66" s="51">
        <v>46311.0</v>
      </c>
      <c r="B66" s="52" t="s">
        <v>117</v>
      </c>
      <c r="C66" s="54" t="s">
        <v>43</v>
      </c>
      <c r="D66" s="49"/>
      <c r="E66" s="53"/>
      <c r="F66" s="49"/>
      <c r="G66" s="44" t="str">
        <f t="shared" si="1"/>
        <v/>
      </c>
      <c r="H66" s="46">
        <f t="shared" si="2"/>
        <v>0</v>
      </c>
      <c r="I66" s="47"/>
    </row>
    <row r="67" ht="15.75" customHeight="1">
      <c r="A67" s="51">
        <v>46311.0</v>
      </c>
      <c r="B67" s="52" t="s">
        <v>117</v>
      </c>
      <c r="C67" s="54" t="s">
        <v>45</v>
      </c>
      <c r="D67" s="49"/>
      <c r="E67" s="53"/>
      <c r="F67" s="49"/>
      <c r="G67" s="44" t="str">
        <f t="shared" si="1"/>
        <v/>
      </c>
      <c r="H67" s="46">
        <f t="shared" si="2"/>
        <v>0</v>
      </c>
      <c r="I67" s="47"/>
    </row>
    <row r="68" ht="15.75" customHeight="1">
      <c r="A68" s="51">
        <v>46311.0</v>
      </c>
      <c r="B68" s="52" t="s">
        <v>117</v>
      </c>
      <c r="C68" s="54" t="s">
        <v>26</v>
      </c>
      <c r="D68" s="49"/>
      <c r="E68" s="53"/>
      <c r="F68" s="49"/>
      <c r="G68" s="44" t="str">
        <f t="shared" si="1"/>
        <v/>
      </c>
      <c r="H68" s="46">
        <f t="shared" si="2"/>
        <v>0</v>
      </c>
      <c r="I68" s="47"/>
    </row>
    <row r="69" ht="15.75" customHeight="1">
      <c r="A69" s="51">
        <v>46311.0</v>
      </c>
      <c r="B69" s="52" t="s">
        <v>117</v>
      </c>
      <c r="C69" s="54" t="s">
        <v>14</v>
      </c>
      <c r="D69" s="49"/>
      <c r="E69" s="53"/>
      <c r="F69" s="49"/>
      <c r="G69" s="44" t="str">
        <f t="shared" si="1"/>
        <v/>
      </c>
      <c r="H69" s="46">
        <f t="shared" si="2"/>
        <v>0</v>
      </c>
      <c r="I69" s="47"/>
    </row>
    <row r="70" ht="15.75" customHeight="1">
      <c r="A70" s="38">
        <v>46318.0</v>
      </c>
      <c r="B70" s="39" t="s">
        <v>110</v>
      </c>
      <c r="C70" s="54" t="s">
        <v>29</v>
      </c>
      <c r="D70" s="49"/>
      <c r="E70" s="53"/>
      <c r="F70" s="49"/>
      <c r="G70" s="44" t="str">
        <f t="shared" si="1"/>
        <v/>
      </c>
      <c r="H70" s="46">
        <f t="shared" si="2"/>
        <v>0</v>
      </c>
      <c r="I70" s="47"/>
    </row>
    <row r="71" ht="15.75" customHeight="1">
      <c r="A71" s="38">
        <v>46318.0</v>
      </c>
      <c r="B71" s="39" t="s">
        <v>110</v>
      </c>
      <c r="C71" s="54" t="s">
        <v>19</v>
      </c>
      <c r="D71" s="49"/>
      <c r="E71" s="53"/>
      <c r="F71" s="49"/>
      <c r="G71" s="44" t="str">
        <f t="shared" si="1"/>
        <v/>
      </c>
      <c r="H71" s="46">
        <f t="shared" si="2"/>
        <v>0</v>
      </c>
      <c r="I71" s="47"/>
    </row>
    <row r="72" ht="15.75" customHeight="1">
      <c r="A72" s="38">
        <v>46318.0</v>
      </c>
      <c r="B72" s="39" t="s">
        <v>110</v>
      </c>
      <c r="C72" s="54" t="s">
        <v>27</v>
      </c>
      <c r="D72" s="49"/>
      <c r="E72" s="53"/>
      <c r="F72" s="49"/>
      <c r="G72" s="44" t="str">
        <f t="shared" si="1"/>
        <v/>
      </c>
      <c r="H72" s="46">
        <f t="shared" si="2"/>
        <v>0</v>
      </c>
      <c r="I72" s="47"/>
    </row>
    <row r="73" ht="15.75" customHeight="1">
      <c r="A73" s="38">
        <v>46318.0</v>
      </c>
      <c r="B73" s="39" t="s">
        <v>110</v>
      </c>
      <c r="C73" s="54" t="s">
        <v>42</v>
      </c>
      <c r="D73" s="49"/>
      <c r="E73" s="53"/>
      <c r="F73" s="49"/>
      <c r="G73" s="44" t="str">
        <f t="shared" si="1"/>
        <v/>
      </c>
      <c r="H73" s="46">
        <f t="shared" si="2"/>
        <v>0</v>
      </c>
      <c r="I73" s="47"/>
    </row>
    <row r="74" ht="15.75" customHeight="1">
      <c r="A74" s="51">
        <v>46318.0</v>
      </c>
      <c r="B74" s="52" t="s">
        <v>117</v>
      </c>
      <c r="C74" s="54" t="s">
        <v>44</v>
      </c>
      <c r="D74" s="49"/>
      <c r="E74" s="53"/>
      <c r="F74" s="49"/>
      <c r="G74" s="44" t="str">
        <f t="shared" si="1"/>
        <v/>
      </c>
      <c r="H74" s="46">
        <f t="shared" si="2"/>
        <v>0</v>
      </c>
      <c r="I74" s="47"/>
    </row>
    <row r="75" ht="15.75" customHeight="1">
      <c r="A75" s="51">
        <v>46318.0</v>
      </c>
      <c r="B75" s="52" t="s">
        <v>117</v>
      </c>
      <c r="C75" s="54" t="s">
        <v>43</v>
      </c>
      <c r="D75" s="49"/>
      <c r="E75" s="53"/>
      <c r="F75" s="49"/>
      <c r="G75" s="44" t="str">
        <f t="shared" si="1"/>
        <v/>
      </c>
      <c r="H75" s="46">
        <f t="shared" si="2"/>
        <v>0</v>
      </c>
      <c r="I75" s="47"/>
    </row>
    <row r="76" ht="15.75" customHeight="1">
      <c r="A76" s="51">
        <v>46318.0</v>
      </c>
      <c r="B76" s="52" t="s">
        <v>117</v>
      </c>
      <c r="C76" s="54" t="s">
        <v>45</v>
      </c>
      <c r="D76" s="49"/>
      <c r="E76" s="53"/>
      <c r="F76" s="49"/>
      <c r="G76" s="44" t="str">
        <f t="shared" si="1"/>
        <v/>
      </c>
      <c r="H76" s="46">
        <f t="shared" si="2"/>
        <v>0</v>
      </c>
      <c r="I76" s="47"/>
    </row>
    <row r="77" ht="15.75" customHeight="1">
      <c r="A77" s="51">
        <v>46318.0</v>
      </c>
      <c r="B77" s="52" t="s">
        <v>117</v>
      </c>
      <c r="C77" s="54" t="s">
        <v>26</v>
      </c>
      <c r="D77" s="49"/>
      <c r="E77" s="53"/>
      <c r="F77" s="49"/>
      <c r="G77" s="44" t="str">
        <f t="shared" si="1"/>
        <v/>
      </c>
      <c r="H77" s="46">
        <f t="shared" si="2"/>
        <v>0</v>
      </c>
      <c r="I77" s="47"/>
    </row>
    <row r="78" ht="15.75" customHeight="1">
      <c r="A78" s="51">
        <v>46318.0</v>
      </c>
      <c r="B78" s="52" t="s">
        <v>117</v>
      </c>
      <c r="C78" s="54" t="s">
        <v>14</v>
      </c>
      <c r="D78" s="49"/>
      <c r="E78" s="53"/>
      <c r="F78" s="49"/>
      <c r="G78" s="44" t="str">
        <f t="shared" si="1"/>
        <v/>
      </c>
      <c r="H78" s="46">
        <f t="shared" si="2"/>
        <v>0</v>
      </c>
      <c r="I78" s="47"/>
    </row>
    <row r="79" ht="15.75" customHeight="1">
      <c r="A79" s="38">
        <v>46325.0</v>
      </c>
      <c r="B79" s="39" t="s">
        <v>110</v>
      </c>
      <c r="C79" s="54" t="s">
        <v>29</v>
      </c>
      <c r="D79" s="49"/>
      <c r="E79" s="53"/>
      <c r="F79" s="49"/>
      <c r="G79" s="44" t="str">
        <f t="shared" si="1"/>
        <v/>
      </c>
      <c r="H79" s="46">
        <f t="shared" si="2"/>
        <v>0</v>
      </c>
      <c r="I79" s="47"/>
    </row>
    <row r="80" ht="15.75" customHeight="1">
      <c r="A80" s="38">
        <v>46325.0</v>
      </c>
      <c r="B80" s="39" t="s">
        <v>110</v>
      </c>
      <c r="C80" s="54" t="s">
        <v>19</v>
      </c>
      <c r="D80" s="49"/>
      <c r="E80" s="53"/>
      <c r="F80" s="49"/>
      <c r="G80" s="44" t="str">
        <f t="shared" si="1"/>
        <v/>
      </c>
      <c r="H80" s="46">
        <f t="shared" si="2"/>
        <v>0</v>
      </c>
      <c r="I80" s="47"/>
    </row>
    <row r="81" ht="15.75" customHeight="1">
      <c r="A81" s="38">
        <v>46325.0</v>
      </c>
      <c r="B81" s="39" t="s">
        <v>110</v>
      </c>
      <c r="C81" s="54" t="s">
        <v>27</v>
      </c>
      <c r="D81" s="49"/>
      <c r="E81" s="53"/>
      <c r="F81" s="49"/>
      <c r="G81" s="44" t="str">
        <f t="shared" si="1"/>
        <v/>
      </c>
      <c r="H81" s="46">
        <f t="shared" si="2"/>
        <v>0</v>
      </c>
      <c r="I81" s="47"/>
    </row>
    <row r="82" ht="15.75" customHeight="1">
      <c r="A82" s="38">
        <v>46325.0</v>
      </c>
      <c r="B82" s="39" t="s">
        <v>110</v>
      </c>
      <c r="C82" s="54" t="s">
        <v>42</v>
      </c>
      <c r="D82" s="49"/>
      <c r="E82" s="53"/>
      <c r="F82" s="49"/>
      <c r="G82" s="44" t="str">
        <f t="shared" si="1"/>
        <v/>
      </c>
      <c r="H82" s="46">
        <f t="shared" si="2"/>
        <v>0</v>
      </c>
      <c r="I82" s="47"/>
    </row>
    <row r="83" ht="15.75" customHeight="1">
      <c r="A83" s="51">
        <v>46325.0</v>
      </c>
      <c r="B83" s="52" t="s">
        <v>117</v>
      </c>
      <c r="C83" s="54" t="s">
        <v>44</v>
      </c>
      <c r="D83" s="49"/>
      <c r="E83" s="53"/>
      <c r="F83" s="49"/>
      <c r="G83" s="44" t="str">
        <f t="shared" si="1"/>
        <v/>
      </c>
      <c r="H83" s="46">
        <f t="shared" si="2"/>
        <v>0</v>
      </c>
      <c r="I83" s="47"/>
    </row>
    <row r="84" ht="15.75" customHeight="1">
      <c r="A84" s="51">
        <v>46325.0</v>
      </c>
      <c r="B84" s="52" t="s">
        <v>117</v>
      </c>
      <c r="C84" s="54" t="s">
        <v>43</v>
      </c>
      <c r="D84" s="49"/>
      <c r="E84" s="53"/>
      <c r="F84" s="49"/>
      <c r="G84" s="44" t="str">
        <f t="shared" si="1"/>
        <v/>
      </c>
      <c r="H84" s="46">
        <f t="shared" si="2"/>
        <v>0</v>
      </c>
      <c r="I84" s="47"/>
    </row>
    <row r="85" ht="15.75" customHeight="1">
      <c r="A85" s="51">
        <v>46325.0</v>
      </c>
      <c r="B85" s="52" t="s">
        <v>117</v>
      </c>
      <c r="C85" s="54" t="s">
        <v>45</v>
      </c>
      <c r="D85" s="49"/>
      <c r="E85" s="53"/>
      <c r="F85" s="49"/>
      <c r="G85" s="44" t="str">
        <f t="shared" si="1"/>
        <v/>
      </c>
      <c r="H85" s="46">
        <f t="shared" si="2"/>
        <v>0</v>
      </c>
      <c r="I85" s="47"/>
    </row>
    <row r="86" ht="15.75" customHeight="1">
      <c r="A86" s="51">
        <v>46325.0</v>
      </c>
      <c r="B86" s="52" t="s">
        <v>117</v>
      </c>
      <c r="C86" s="54" t="s">
        <v>26</v>
      </c>
      <c r="D86" s="49"/>
      <c r="E86" s="53"/>
      <c r="F86" s="49"/>
      <c r="G86" s="44" t="str">
        <f t="shared" si="1"/>
        <v/>
      </c>
      <c r="H86" s="46">
        <f t="shared" si="2"/>
        <v>0</v>
      </c>
      <c r="I86" s="47"/>
    </row>
    <row r="87" ht="15.75" customHeight="1">
      <c r="A87" s="51">
        <v>46325.0</v>
      </c>
      <c r="B87" s="52" t="s">
        <v>117</v>
      </c>
      <c r="C87" s="54" t="s">
        <v>14</v>
      </c>
      <c r="D87" s="49"/>
      <c r="E87" s="53"/>
      <c r="F87" s="49"/>
      <c r="G87" s="44" t="str">
        <f t="shared" si="1"/>
        <v/>
      </c>
      <c r="H87" s="46">
        <f t="shared" si="2"/>
        <v>0</v>
      </c>
      <c r="I87" s="47"/>
    </row>
    <row r="88" ht="15.75" customHeight="1">
      <c r="A88" s="38">
        <v>46332.0</v>
      </c>
      <c r="B88" s="39" t="s">
        <v>110</v>
      </c>
      <c r="C88" s="54" t="s">
        <v>29</v>
      </c>
      <c r="D88" s="49"/>
      <c r="E88" s="53"/>
      <c r="F88" s="49"/>
      <c r="G88" s="44" t="str">
        <f t="shared" si="1"/>
        <v/>
      </c>
      <c r="H88" s="46">
        <f t="shared" si="2"/>
        <v>0</v>
      </c>
      <c r="I88" s="47"/>
    </row>
    <row r="89" ht="15.75" customHeight="1">
      <c r="A89" s="38">
        <v>46332.0</v>
      </c>
      <c r="B89" s="39" t="s">
        <v>110</v>
      </c>
      <c r="C89" s="54" t="s">
        <v>19</v>
      </c>
      <c r="D89" s="49"/>
      <c r="E89" s="53"/>
      <c r="F89" s="49"/>
      <c r="G89" s="44" t="str">
        <f t="shared" si="1"/>
        <v/>
      </c>
      <c r="H89" s="46">
        <f t="shared" si="2"/>
        <v>0</v>
      </c>
      <c r="I89" s="47"/>
    </row>
    <row r="90" ht="15.75" customHeight="1">
      <c r="A90" s="38">
        <v>46332.0</v>
      </c>
      <c r="B90" s="39" t="s">
        <v>110</v>
      </c>
      <c r="C90" s="54" t="s">
        <v>27</v>
      </c>
      <c r="D90" s="49"/>
      <c r="E90" s="53"/>
      <c r="F90" s="49"/>
      <c r="G90" s="44" t="str">
        <f t="shared" si="1"/>
        <v/>
      </c>
      <c r="H90" s="46">
        <f t="shared" si="2"/>
        <v>0</v>
      </c>
      <c r="I90" s="47"/>
    </row>
    <row r="91" ht="15.75" customHeight="1">
      <c r="A91" s="38">
        <v>46332.0</v>
      </c>
      <c r="B91" s="39" t="s">
        <v>110</v>
      </c>
      <c r="C91" s="54" t="s">
        <v>42</v>
      </c>
      <c r="D91" s="49"/>
      <c r="E91" s="53"/>
      <c r="F91" s="49"/>
      <c r="G91" s="44" t="str">
        <f t="shared" si="1"/>
        <v/>
      </c>
      <c r="H91" s="46">
        <f t="shared" si="2"/>
        <v>0</v>
      </c>
      <c r="I91" s="47"/>
    </row>
    <row r="92" ht="15.75" customHeight="1">
      <c r="A92" s="51">
        <v>46332.0</v>
      </c>
      <c r="B92" s="52" t="s">
        <v>117</v>
      </c>
      <c r="C92" s="54" t="s">
        <v>44</v>
      </c>
      <c r="D92" s="49"/>
      <c r="E92" s="53"/>
      <c r="F92" s="49"/>
      <c r="G92" s="44" t="str">
        <f t="shared" si="1"/>
        <v/>
      </c>
      <c r="H92" s="46">
        <f t="shared" si="2"/>
        <v>0</v>
      </c>
      <c r="I92" s="47"/>
    </row>
    <row r="93" ht="15.75" customHeight="1">
      <c r="A93" s="51">
        <v>46332.0</v>
      </c>
      <c r="B93" s="52" t="s">
        <v>117</v>
      </c>
      <c r="C93" s="54" t="s">
        <v>43</v>
      </c>
      <c r="D93" s="49"/>
      <c r="E93" s="53"/>
      <c r="F93" s="49"/>
      <c r="G93" s="44" t="str">
        <f t="shared" si="1"/>
        <v/>
      </c>
      <c r="H93" s="46">
        <f t="shared" si="2"/>
        <v>0</v>
      </c>
      <c r="I93" s="47"/>
    </row>
    <row r="94" ht="15.75" customHeight="1">
      <c r="A94" s="51">
        <v>46332.0</v>
      </c>
      <c r="B94" s="52" t="s">
        <v>117</v>
      </c>
      <c r="C94" s="54" t="s">
        <v>45</v>
      </c>
      <c r="D94" s="49"/>
      <c r="E94" s="53"/>
      <c r="F94" s="49"/>
      <c r="G94" s="44" t="str">
        <f t="shared" si="1"/>
        <v/>
      </c>
      <c r="H94" s="46">
        <f t="shared" si="2"/>
        <v>0</v>
      </c>
      <c r="I94" s="47"/>
    </row>
    <row r="95" ht="15.75" customHeight="1">
      <c r="A95" s="51">
        <v>46332.0</v>
      </c>
      <c r="B95" s="52" t="s">
        <v>117</v>
      </c>
      <c r="C95" s="54" t="s">
        <v>26</v>
      </c>
      <c r="D95" s="49"/>
      <c r="E95" s="53"/>
      <c r="F95" s="49"/>
      <c r="G95" s="44" t="str">
        <f t="shared" si="1"/>
        <v/>
      </c>
      <c r="H95" s="46">
        <f t="shared" si="2"/>
        <v>0</v>
      </c>
      <c r="I95" s="47"/>
    </row>
    <row r="96" ht="15.75" customHeight="1">
      <c r="A96" s="51">
        <v>46332.0</v>
      </c>
      <c r="B96" s="52" t="s">
        <v>117</v>
      </c>
      <c r="C96" s="54" t="s">
        <v>14</v>
      </c>
      <c r="D96" s="49"/>
      <c r="E96" s="53"/>
      <c r="F96" s="49"/>
      <c r="G96" s="44" t="str">
        <f t="shared" si="1"/>
        <v/>
      </c>
      <c r="H96" s="46">
        <f t="shared" si="2"/>
        <v>0</v>
      </c>
      <c r="I96" s="47"/>
    </row>
    <row r="97" ht="15.75" customHeight="1">
      <c r="A97" s="38">
        <v>46339.0</v>
      </c>
      <c r="B97" s="39" t="s">
        <v>110</v>
      </c>
      <c r="C97" s="54" t="s">
        <v>29</v>
      </c>
      <c r="D97" s="49"/>
      <c r="E97" s="53"/>
      <c r="F97" s="49"/>
      <c r="G97" s="44" t="str">
        <f t="shared" si="1"/>
        <v/>
      </c>
      <c r="H97" s="46">
        <f t="shared" si="2"/>
        <v>0</v>
      </c>
      <c r="I97" s="47"/>
    </row>
    <row r="98" ht="15.75" customHeight="1">
      <c r="A98" s="38">
        <v>46339.0</v>
      </c>
      <c r="B98" s="39" t="s">
        <v>110</v>
      </c>
      <c r="C98" s="54" t="s">
        <v>19</v>
      </c>
      <c r="D98" s="49"/>
      <c r="E98" s="53"/>
      <c r="F98" s="49"/>
      <c r="G98" s="44" t="str">
        <f t="shared" si="1"/>
        <v/>
      </c>
      <c r="H98" s="46">
        <f t="shared" si="2"/>
        <v>0</v>
      </c>
      <c r="I98" s="47"/>
    </row>
    <row r="99" ht="15.75" customHeight="1">
      <c r="A99" s="38">
        <v>46339.0</v>
      </c>
      <c r="B99" s="39" t="s">
        <v>110</v>
      </c>
      <c r="C99" s="54" t="s">
        <v>27</v>
      </c>
      <c r="D99" s="49"/>
      <c r="E99" s="53"/>
      <c r="F99" s="49"/>
      <c r="G99" s="44" t="str">
        <f t="shared" si="1"/>
        <v/>
      </c>
      <c r="H99" s="46">
        <f t="shared" si="2"/>
        <v>0</v>
      </c>
      <c r="I99" s="47"/>
    </row>
    <row r="100" ht="15.75" customHeight="1">
      <c r="A100" s="38">
        <v>46339.0</v>
      </c>
      <c r="B100" s="39" t="s">
        <v>110</v>
      </c>
      <c r="C100" s="54" t="s">
        <v>42</v>
      </c>
      <c r="D100" s="49"/>
      <c r="E100" s="53"/>
      <c r="F100" s="49"/>
      <c r="G100" s="44" t="str">
        <f t="shared" si="1"/>
        <v/>
      </c>
      <c r="H100" s="46">
        <f t="shared" si="2"/>
        <v>0</v>
      </c>
      <c r="I100" s="47"/>
    </row>
    <row r="101" ht="15.75" customHeight="1">
      <c r="A101" s="51">
        <v>46339.0</v>
      </c>
      <c r="B101" s="52" t="s">
        <v>117</v>
      </c>
      <c r="C101" s="54" t="s">
        <v>44</v>
      </c>
      <c r="D101" s="49"/>
      <c r="E101" s="53"/>
      <c r="F101" s="49"/>
      <c r="G101" s="44" t="str">
        <f t="shared" si="1"/>
        <v/>
      </c>
      <c r="H101" s="46">
        <f t="shared" si="2"/>
        <v>0</v>
      </c>
      <c r="I101" s="47"/>
    </row>
    <row r="102" ht="15.75" customHeight="1">
      <c r="A102" s="51">
        <v>46339.0</v>
      </c>
      <c r="B102" s="52" t="s">
        <v>117</v>
      </c>
      <c r="C102" s="54" t="s">
        <v>43</v>
      </c>
      <c r="D102" s="49"/>
      <c r="E102" s="53"/>
      <c r="F102" s="49"/>
      <c r="G102" s="44" t="str">
        <f t="shared" si="1"/>
        <v/>
      </c>
      <c r="H102" s="46">
        <f t="shared" si="2"/>
        <v>0</v>
      </c>
      <c r="I102" s="47"/>
    </row>
    <row r="103" ht="15.75" customHeight="1">
      <c r="A103" s="51">
        <v>46339.0</v>
      </c>
      <c r="B103" s="52" t="s">
        <v>117</v>
      </c>
      <c r="C103" s="54" t="s">
        <v>45</v>
      </c>
      <c r="D103" s="49"/>
      <c r="E103" s="53"/>
      <c r="F103" s="49"/>
      <c r="G103" s="44" t="str">
        <f t="shared" si="1"/>
        <v/>
      </c>
      <c r="H103" s="46">
        <f t="shared" si="2"/>
        <v>0</v>
      </c>
      <c r="I103" s="47"/>
    </row>
    <row r="104" ht="15.75" customHeight="1">
      <c r="A104" s="51">
        <v>46339.0</v>
      </c>
      <c r="B104" s="52" t="s">
        <v>117</v>
      </c>
      <c r="C104" s="54" t="s">
        <v>26</v>
      </c>
      <c r="D104" s="49"/>
      <c r="E104" s="53"/>
      <c r="F104" s="49"/>
      <c r="G104" s="44" t="str">
        <f t="shared" si="1"/>
        <v/>
      </c>
      <c r="H104" s="46">
        <f t="shared" si="2"/>
        <v>0</v>
      </c>
      <c r="I104" s="47"/>
    </row>
    <row r="105" ht="15.75" customHeight="1">
      <c r="A105" s="51">
        <v>46339.0</v>
      </c>
      <c r="B105" s="52" t="s">
        <v>117</v>
      </c>
      <c r="C105" s="54" t="s">
        <v>14</v>
      </c>
      <c r="D105" s="49"/>
      <c r="E105" s="53"/>
      <c r="F105" s="49"/>
      <c r="G105" s="44" t="str">
        <f t="shared" si="1"/>
        <v/>
      </c>
      <c r="H105" s="46">
        <f t="shared" si="2"/>
        <v>0</v>
      </c>
      <c r="I105" s="47"/>
    </row>
    <row r="106" ht="15.75" customHeight="1">
      <c r="A106" s="38">
        <v>46346.0</v>
      </c>
      <c r="B106" s="39" t="s">
        <v>110</v>
      </c>
      <c r="C106" s="54" t="s">
        <v>29</v>
      </c>
      <c r="D106" s="49"/>
      <c r="E106" s="53"/>
      <c r="F106" s="49"/>
      <c r="G106" s="44" t="str">
        <f t="shared" si="1"/>
        <v/>
      </c>
      <c r="H106" s="46">
        <f t="shared" si="2"/>
        <v>0</v>
      </c>
      <c r="I106" s="47"/>
    </row>
    <row r="107" ht="15.75" customHeight="1">
      <c r="A107" s="38">
        <v>46346.0</v>
      </c>
      <c r="B107" s="39" t="s">
        <v>110</v>
      </c>
      <c r="C107" s="54" t="s">
        <v>19</v>
      </c>
      <c r="D107" s="49"/>
      <c r="E107" s="53"/>
      <c r="F107" s="49"/>
      <c r="G107" s="44" t="str">
        <f t="shared" si="1"/>
        <v/>
      </c>
      <c r="H107" s="46">
        <f t="shared" si="2"/>
        <v>0</v>
      </c>
      <c r="I107" s="47"/>
    </row>
    <row r="108" ht="15.75" customHeight="1">
      <c r="A108" s="38">
        <v>46346.0</v>
      </c>
      <c r="B108" s="39" t="s">
        <v>110</v>
      </c>
      <c r="C108" s="54" t="s">
        <v>27</v>
      </c>
      <c r="D108" s="49"/>
      <c r="E108" s="53"/>
      <c r="F108" s="49"/>
      <c r="G108" s="44" t="str">
        <f t="shared" si="1"/>
        <v/>
      </c>
      <c r="H108" s="46">
        <f t="shared" si="2"/>
        <v>0</v>
      </c>
      <c r="I108" s="47"/>
    </row>
    <row r="109" ht="15.75" customHeight="1">
      <c r="A109" s="38">
        <v>46346.0</v>
      </c>
      <c r="B109" s="39" t="s">
        <v>110</v>
      </c>
      <c r="C109" s="54" t="s">
        <v>42</v>
      </c>
      <c r="D109" s="49"/>
      <c r="E109" s="53"/>
      <c r="F109" s="49"/>
      <c r="G109" s="44" t="str">
        <f t="shared" si="1"/>
        <v/>
      </c>
      <c r="H109" s="46">
        <f t="shared" si="2"/>
        <v>0</v>
      </c>
      <c r="I109" s="47"/>
    </row>
    <row r="110" ht="15.75" customHeight="1">
      <c r="A110" s="51">
        <v>46346.0</v>
      </c>
      <c r="B110" s="52" t="s">
        <v>117</v>
      </c>
      <c r="C110" s="54" t="s">
        <v>44</v>
      </c>
      <c r="D110" s="49"/>
      <c r="E110" s="53"/>
      <c r="F110" s="49"/>
      <c r="G110" s="44" t="str">
        <f t="shared" si="1"/>
        <v/>
      </c>
      <c r="H110" s="46">
        <f t="shared" si="2"/>
        <v>0</v>
      </c>
      <c r="I110" s="47"/>
    </row>
    <row r="111" ht="15.75" customHeight="1">
      <c r="A111" s="51">
        <v>46346.0</v>
      </c>
      <c r="B111" s="52" t="s">
        <v>117</v>
      </c>
      <c r="C111" s="54" t="s">
        <v>43</v>
      </c>
      <c r="D111" s="49"/>
      <c r="E111" s="53"/>
      <c r="F111" s="49"/>
      <c r="G111" s="44" t="str">
        <f t="shared" si="1"/>
        <v/>
      </c>
      <c r="H111" s="46">
        <f t="shared" si="2"/>
        <v>0</v>
      </c>
      <c r="I111" s="47"/>
    </row>
    <row r="112" ht="15.75" customHeight="1">
      <c r="A112" s="51">
        <v>46346.0</v>
      </c>
      <c r="B112" s="52" t="s">
        <v>117</v>
      </c>
      <c r="C112" s="54" t="s">
        <v>45</v>
      </c>
      <c r="D112" s="49"/>
      <c r="E112" s="53"/>
      <c r="F112" s="49"/>
      <c r="G112" s="44" t="str">
        <f t="shared" si="1"/>
        <v/>
      </c>
      <c r="H112" s="46">
        <f t="shared" si="2"/>
        <v>0</v>
      </c>
      <c r="I112" s="47"/>
    </row>
    <row r="113" ht="15.75" customHeight="1">
      <c r="A113" s="51">
        <v>46346.0</v>
      </c>
      <c r="B113" s="52" t="s">
        <v>117</v>
      </c>
      <c r="C113" s="54" t="s">
        <v>26</v>
      </c>
      <c r="D113" s="49"/>
      <c r="E113" s="53"/>
      <c r="F113" s="49"/>
      <c r="G113" s="44" t="str">
        <f t="shared" si="1"/>
        <v/>
      </c>
      <c r="H113" s="46">
        <f t="shared" si="2"/>
        <v>0</v>
      </c>
      <c r="I113" s="47"/>
    </row>
    <row r="114" ht="15.75" customHeight="1">
      <c r="A114" s="51">
        <v>46346.0</v>
      </c>
      <c r="B114" s="52" t="s">
        <v>117</v>
      </c>
      <c r="C114" s="54" t="s">
        <v>14</v>
      </c>
      <c r="D114" s="49"/>
      <c r="E114" s="53"/>
      <c r="F114" s="49"/>
      <c r="G114" s="44" t="str">
        <f t="shared" si="1"/>
        <v/>
      </c>
      <c r="H114" s="46">
        <f t="shared" si="2"/>
        <v>0</v>
      </c>
      <c r="I114" s="47"/>
    </row>
    <row r="115" ht="15.75" customHeight="1">
      <c r="A115" s="38">
        <v>46353.0</v>
      </c>
      <c r="B115" s="39" t="s">
        <v>110</v>
      </c>
      <c r="C115" s="54" t="s">
        <v>29</v>
      </c>
      <c r="D115" s="49"/>
      <c r="E115" s="53"/>
      <c r="F115" s="49"/>
      <c r="G115" s="44" t="str">
        <f t="shared" si="1"/>
        <v/>
      </c>
      <c r="H115" s="46">
        <f t="shared" si="2"/>
        <v>0</v>
      </c>
      <c r="I115" s="47"/>
    </row>
    <row r="116" ht="15.75" customHeight="1">
      <c r="A116" s="38">
        <v>46353.0</v>
      </c>
      <c r="B116" s="39" t="s">
        <v>110</v>
      </c>
      <c r="C116" s="54" t="s">
        <v>19</v>
      </c>
      <c r="D116" s="49"/>
      <c r="E116" s="53"/>
      <c r="F116" s="49"/>
      <c r="G116" s="44" t="str">
        <f t="shared" si="1"/>
        <v/>
      </c>
      <c r="H116" s="46">
        <f t="shared" si="2"/>
        <v>0</v>
      </c>
      <c r="I116" s="47"/>
    </row>
    <row r="117" ht="15.75" customHeight="1">
      <c r="A117" s="38">
        <v>46353.0</v>
      </c>
      <c r="B117" s="39" t="s">
        <v>110</v>
      </c>
      <c r="C117" s="54" t="s">
        <v>27</v>
      </c>
      <c r="D117" s="49"/>
      <c r="E117" s="53"/>
      <c r="F117" s="49"/>
      <c r="G117" s="44" t="str">
        <f t="shared" si="1"/>
        <v/>
      </c>
      <c r="H117" s="46">
        <f t="shared" si="2"/>
        <v>0</v>
      </c>
      <c r="I117" s="47"/>
    </row>
    <row r="118" ht="15.75" customHeight="1">
      <c r="A118" s="38">
        <v>46353.0</v>
      </c>
      <c r="B118" s="39" t="s">
        <v>110</v>
      </c>
      <c r="C118" s="54" t="s">
        <v>42</v>
      </c>
      <c r="D118" s="49"/>
      <c r="E118" s="53"/>
      <c r="F118" s="49"/>
      <c r="G118" s="44" t="str">
        <f t="shared" si="1"/>
        <v/>
      </c>
      <c r="H118" s="46">
        <f t="shared" si="2"/>
        <v>0</v>
      </c>
      <c r="I118" s="47"/>
    </row>
    <row r="119" ht="15.75" customHeight="1">
      <c r="A119" s="51">
        <v>46353.0</v>
      </c>
      <c r="B119" s="52" t="s">
        <v>117</v>
      </c>
      <c r="C119" s="54" t="s">
        <v>44</v>
      </c>
      <c r="D119" s="49"/>
      <c r="E119" s="53"/>
      <c r="F119" s="49"/>
      <c r="G119" s="44" t="str">
        <f t="shared" si="1"/>
        <v/>
      </c>
      <c r="H119" s="46">
        <f t="shared" si="2"/>
        <v>0</v>
      </c>
      <c r="I119" s="47"/>
    </row>
    <row r="120" ht="15.75" customHeight="1">
      <c r="A120" s="51">
        <v>46353.0</v>
      </c>
      <c r="B120" s="52" t="s">
        <v>117</v>
      </c>
      <c r="C120" s="54" t="s">
        <v>43</v>
      </c>
      <c r="D120" s="49"/>
      <c r="E120" s="53"/>
      <c r="F120" s="49"/>
      <c r="G120" s="44" t="str">
        <f t="shared" si="1"/>
        <v/>
      </c>
      <c r="H120" s="46">
        <f t="shared" si="2"/>
        <v>0</v>
      </c>
      <c r="I120" s="47"/>
    </row>
    <row r="121" ht="15.75" customHeight="1">
      <c r="A121" s="51">
        <v>46353.0</v>
      </c>
      <c r="B121" s="52" t="s">
        <v>117</v>
      </c>
      <c r="C121" s="54" t="s">
        <v>45</v>
      </c>
      <c r="D121" s="49"/>
      <c r="E121" s="53"/>
      <c r="F121" s="49"/>
      <c r="G121" s="44" t="str">
        <f t="shared" si="1"/>
        <v/>
      </c>
      <c r="H121" s="46">
        <f t="shared" si="2"/>
        <v>0</v>
      </c>
      <c r="I121" s="47"/>
    </row>
    <row r="122" ht="15.75" customHeight="1">
      <c r="A122" s="51">
        <v>46353.0</v>
      </c>
      <c r="B122" s="52" t="s">
        <v>117</v>
      </c>
      <c r="C122" s="54" t="s">
        <v>26</v>
      </c>
      <c r="D122" s="49"/>
      <c r="E122" s="53"/>
      <c r="F122" s="49"/>
      <c r="G122" s="44" t="str">
        <f t="shared" si="1"/>
        <v/>
      </c>
      <c r="H122" s="46">
        <f t="shared" si="2"/>
        <v>0</v>
      </c>
      <c r="I122" s="47"/>
    </row>
    <row r="123" ht="15.75" customHeight="1">
      <c r="A123" s="51">
        <v>46353.0</v>
      </c>
      <c r="B123" s="52" t="s">
        <v>117</v>
      </c>
      <c r="C123" s="54" t="s">
        <v>14</v>
      </c>
      <c r="D123" s="49"/>
      <c r="E123" s="53"/>
      <c r="F123" s="49"/>
      <c r="G123" s="44" t="str">
        <f t="shared" si="1"/>
        <v/>
      </c>
      <c r="H123" s="46">
        <f t="shared" si="2"/>
        <v>0</v>
      </c>
      <c r="I123" s="47"/>
    </row>
    <row r="124" ht="15.75" customHeight="1">
      <c r="A124" s="38">
        <v>46360.0</v>
      </c>
      <c r="B124" s="39" t="s">
        <v>110</v>
      </c>
      <c r="C124" s="54" t="s">
        <v>29</v>
      </c>
      <c r="D124" s="49"/>
      <c r="E124" s="53"/>
      <c r="F124" s="49"/>
      <c r="G124" s="44" t="str">
        <f t="shared" si="1"/>
        <v/>
      </c>
      <c r="H124" s="46">
        <f t="shared" si="2"/>
        <v>0</v>
      </c>
      <c r="I124" s="47"/>
    </row>
    <row r="125" ht="15.75" customHeight="1">
      <c r="A125" s="38">
        <v>46360.0</v>
      </c>
      <c r="B125" s="39" t="s">
        <v>110</v>
      </c>
      <c r="C125" s="54" t="s">
        <v>19</v>
      </c>
      <c r="D125" s="49"/>
      <c r="E125" s="53"/>
      <c r="F125" s="49"/>
      <c r="G125" s="44" t="str">
        <f t="shared" si="1"/>
        <v/>
      </c>
      <c r="H125" s="46">
        <f t="shared" si="2"/>
        <v>0</v>
      </c>
      <c r="I125" s="47"/>
    </row>
    <row r="126" ht="15.75" customHeight="1">
      <c r="A126" s="38">
        <v>46360.0</v>
      </c>
      <c r="B126" s="39" t="s">
        <v>110</v>
      </c>
      <c r="C126" s="54" t="s">
        <v>27</v>
      </c>
      <c r="D126" s="49"/>
      <c r="E126" s="53"/>
      <c r="F126" s="49"/>
      <c r="G126" s="44" t="str">
        <f t="shared" si="1"/>
        <v/>
      </c>
      <c r="H126" s="46">
        <f t="shared" si="2"/>
        <v>0</v>
      </c>
      <c r="I126" s="47"/>
    </row>
    <row r="127" ht="15.75" customHeight="1">
      <c r="A127" s="38">
        <v>46360.0</v>
      </c>
      <c r="B127" s="39" t="s">
        <v>110</v>
      </c>
      <c r="C127" s="54" t="s">
        <v>42</v>
      </c>
      <c r="D127" s="49"/>
      <c r="E127" s="53"/>
      <c r="F127" s="49"/>
      <c r="G127" s="44" t="str">
        <f t="shared" si="1"/>
        <v/>
      </c>
      <c r="H127" s="46">
        <f t="shared" si="2"/>
        <v>0</v>
      </c>
      <c r="I127" s="47"/>
    </row>
    <row r="128" ht="15.75" customHeight="1">
      <c r="A128" s="51">
        <v>46360.0</v>
      </c>
      <c r="B128" s="52" t="s">
        <v>117</v>
      </c>
      <c r="C128" s="54" t="s">
        <v>44</v>
      </c>
      <c r="D128" s="49"/>
      <c r="E128" s="53"/>
      <c r="F128" s="49"/>
      <c r="G128" s="44" t="str">
        <f t="shared" si="1"/>
        <v/>
      </c>
      <c r="H128" s="46">
        <f t="shared" si="2"/>
        <v>0</v>
      </c>
      <c r="I128" s="47"/>
    </row>
    <row r="129" ht="15.75" customHeight="1">
      <c r="A129" s="51">
        <v>46360.0</v>
      </c>
      <c r="B129" s="52" t="s">
        <v>117</v>
      </c>
      <c r="C129" s="54" t="s">
        <v>43</v>
      </c>
      <c r="D129" s="49"/>
      <c r="E129" s="53"/>
      <c r="F129" s="49"/>
      <c r="G129" s="44" t="str">
        <f t="shared" si="1"/>
        <v/>
      </c>
      <c r="H129" s="46">
        <f t="shared" si="2"/>
        <v>0</v>
      </c>
      <c r="I129" s="47"/>
    </row>
    <row r="130" ht="15.75" customHeight="1">
      <c r="A130" s="51">
        <v>46360.0</v>
      </c>
      <c r="B130" s="52" t="s">
        <v>117</v>
      </c>
      <c r="C130" s="54" t="s">
        <v>45</v>
      </c>
      <c r="D130" s="49"/>
      <c r="E130" s="53"/>
      <c r="F130" s="49"/>
      <c r="G130" s="44" t="str">
        <f t="shared" si="1"/>
        <v/>
      </c>
      <c r="H130" s="46">
        <f t="shared" si="2"/>
        <v>0</v>
      </c>
      <c r="I130" s="47"/>
    </row>
    <row r="131" ht="15.75" customHeight="1">
      <c r="A131" s="51">
        <v>46360.0</v>
      </c>
      <c r="B131" s="52" t="s">
        <v>117</v>
      </c>
      <c r="C131" s="54" t="s">
        <v>26</v>
      </c>
      <c r="D131" s="49"/>
      <c r="E131" s="53"/>
      <c r="F131" s="49"/>
      <c r="G131" s="44" t="str">
        <f t="shared" si="1"/>
        <v/>
      </c>
      <c r="H131" s="46">
        <f t="shared" si="2"/>
        <v>0</v>
      </c>
      <c r="I131" s="47"/>
    </row>
    <row r="132" ht="15.75" customHeight="1">
      <c r="A132" s="51">
        <v>46360.0</v>
      </c>
      <c r="B132" s="52" t="s">
        <v>117</v>
      </c>
      <c r="C132" s="54" t="s">
        <v>14</v>
      </c>
      <c r="D132" s="49"/>
      <c r="E132" s="53"/>
      <c r="F132" s="49"/>
      <c r="G132" s="44" t="str">
        <f t="shared" si="1"/>
        <v/>
      </c>
      <c r="H132" s="46">
        <f t="shared" si="2"/>
        <v>0</v>
      </c>
      <c r="I132" s="47"/>
    </row>
    <row r="133" ht="15.75" customHeight="1">
      <c r="A133" s="38">
        <v>46367.0</v>
      </c>
      <c r="B133" s="39" t="s">
        <v>110</v>
      </c>
      <c r="C133" s="54" t="s">
        <v>29</v>
      </c>
      <c r="D133" s="49"/>
      <c r="E133" s="53"/>
      <c r="F133" s="49"/>
      <c r="G133" s="44" t="str">
        <f t="shared" si="1"/>
        <v/>
      </c>
      <c r="H133" s="46">
        <f t="shared" si="2"/>
        <v>0</v>
      </c>
      <c r="I133" s="47"/>
    </row>
    <row r="134" ht="15.75" customHeight="1">
      <c r="A134" s="38">
        <v>46367.0</v>
      </c>
      <c r="B134" s="39" t="s">
        <v>110</v>
      </c>
      <c r="C134" s="54" t="s">
        <v>19</v>
      </c>
      <c r="D134" s="49"/>
      <c r="E134" s="53"/>
      <c r="F134" s="49"/>
      <c r="G134" s="44" t="str">
        <f t="shared" si="1"/>
        <v/>
      </c>
      <c r="H134" s="46">
        <f t="shared" si="2"/>
        <v>0</v>
      </c>
      <c r="I134" s="47"/>
    </row>
    <row r="135" ht="15.75" customHeight="1">
      <c r="A135" s="38">
        <v>46367.0</v>
      </c>
      <c r="B135" s="39" t="s">
        <v>110</v>
      </c>
      <c r="C135" s="54" t="s">
        <v>27</v>
      </c>
      <c r="D135" s="49"/>
      <c r="E135" s="53"/>
      <c r="F135" s="49"/>
      <c r="G135" s="44" t="str">
        <f t="shared" si="1"/>
        <v/>
      </c>
      <c r="H135" s="46">
        <f t="shared" si="2"/>
        <v>0</v>
      </c>
      <c r="I135" s="47"/>
    </row>
    <row r="136" ht="15.75" customHeight="1">
      <c r="A136" s="38">
        <v>46367.0</v>
      </c>
      <c r="B136" s="39" t="s">
        <v>110</v>
      </c>
      <c r="C136" s="54" t="s">
        <v>42</v>
      </c>
      <c r="D136" s="49"/>
      <c r="E136" s="53"/>
      <c r="F136" s="49"/>
      <c r="G136" s="44" t="str">
        <f t="shared" si="1"/>
        <v/>
      </c>
      <c r="H136" s="46">
        <f t="shared" si="2"/>
        <v>0</v>
      </c>
      <c r="I136" s="47"/>
    </row>
    <row r="137" ht="15.75" customHeight="1">
      <c r="A137" s="51">
        <v>46367.0</v>
      </c>
      <c r="B137" s="52" t="s">
        <v>117</v>
      </c>
      <c r="C137" s="54" t="s">
        <v>44</v>
      </c>
      <c r="D137" s="49"/>
      <c r="E137" s="53"/>
      <c r="F137" s="49"/>
      <c r="G137" s="44" t="str">
        <f t="shared" si="1"/>
        <v/>
      </c>
      <c r="H137" s="46">
        <f t="shared" si="2"/>
        <v>0</v>
      </c>
      <c r="I137" s="47"/>
    </row>
    <row r="138" ht="15.75" customHeight="1">
      <c r="A138" s="51">
        <v>46367.0</v>
      </c>
      <c r="B138" s="52" t="s">
        <v>117</v>
      </c>
      <c r="C138" s="54" t="s">
        <v>43</v>
      </c>
      <c r="D138" s="49"/>
      <c r="E138" s="53"/>
      <c r="F138" s="49"/>
      <c r="G138" s="44" t="str">
        <f t="shared" si="1"/>
        <v/>
      </c>
      <c r="H138" s="46">
        <f t="shared" si="2"/>
        <v>0</v>
      </c>
      <c r="I138" s="47"/>
    </row>
    <row r="139" ht="15.75" customHeight="1">
      <c r="A139" s="51">
        <v>46367.0</v>
      </c>
      <c r="B139" s="52" t="s">
        <v>117</v>
      </c>
      <c r="C139" s="54" t="s">
        <v>45</v>
      </c>
      <c r="D139" s="49"/>
      <c r="E139" s="53"/>
      <c r="F139" s="49"/>
      <c r="G139" s="44" t="str">
        <f t="shared" si="1"/>
        <v/>
      </c>
      <c r="H139" s="46">
        <f t="shared" si="2"/>
        <v>0</v>
      </c>
      <c r="I139" s="47"/>
    </row>
    <row r="140" ht="15.75" customHeight="1">
      <c r="A140" s="51">
        <v>46367.0</v>
      </c>
      <c r="B140" s="52" t="s">
        <v>117</v>
      </c>
      <c r="C140" s="54" t="s">
        <v>26</v>
      </c>
      <c r="D140" s="49"/>
      <c r="E140" s="53"/>
      <c r="F140" s="49"/>
      <c r="G140" s="44" t="str">
        <f t="shared" si="1"/>
        <v/>
      </c>
      <c r="H140" s="46">
        <f t="shared" si="2"/>
        <v>0</v>
      </c>
      <c r="I140" s="47"/>
    </row>
    <row r="141" ht="15.75" customHeight="1">
      <c r="A141" s="51">
        <v>46367.0</v>
      </c>
      <c r="B141" s="52" t="s">
        <v>117</v>
      </c>
      <c r="C141" s="54" t="s">
        <v>14</v>
      </c>
      <c r="D141" s="49"/>
      <c r="E141" s="53"/>
      <c r="F141" s="49"/>
      <c r="G141" s="44" t="str">
        <f t="shared" si="1"/>
        <v/>
      </c>
      <c r="H141" s="46">
        <f t="shared" si="2"/>
        <v>0</v>
      </c>
      <c r="I141" s="47"/>
    </row>
    <row r="142" ht="15.75" customHeight="1">
      <c r="A142" s="38">
        <v>46374.0</v>
      </c>
      <c r="B142" s="39" t="s">
        <v>110</v>
      </c>
      <c r="C142" s="54" t="s">
        <v>29</v>
      </c>
      <c r="D142" s="49"/>
      <c r="E142" s="53"/>
      <c r="F142" s="49"/>
      <c r="G142" s="44" t="str">
        <f t="shared" si="1"/>
        <v/>
      </c>
      <c r="H142" s="46">
        <f t="shared" si="2"/>
        <v>0</v>
      </c>
      <c r="I142" s="47"/>
    </row>
    <row r="143" ht="15.75" customHeight="1">
      <c r="A143" s="38">
        <v>46374.0</v>
      </c>
      <c r="B143" s="39" t="s">
        <v>110</v>
      </c>
      <c r="C143" s="54" t="s">
        <v>19</v>
      </c>
      <c r="D143" s="49"/>
      <c r="E143" s="53"/>
      <c r="F143" s="49"/>
      <c r="G143" s="44" t="str">
        <f t="shared" si="1"/>
        <v/>
      </c>
      <c r="H143" s="46">
        <f t="shared" si="2"/>
        <v>0</v>
      </c>
      <c r="I143" s="47"/>
    </row>
    <row r="144" ht="15.75" customHeight="1">
      <c r="A144" s="38">
        <v>46374.0</v>
      </c>
      <c r="B144" s="39" t="s">
        <v>110</v>
      </c>
      <c r="C144" s="54" t="s">
        <v>27</v>
      </c>
      <c r="D144" s="49"/>
      <c r="E144" s="53"/>
      <c r="F144" s="49"/>
      <c r="G144" s="44" t="str">
        <f t="shared" si="1"/>
        <v/>
      </c>
      <c r="H144" s="46">
        <f t="shared" si="2"/>
        <v>0</v>
      </c>
      <c r="I144" s="47"/>
    </row>
    <row r="145" ht="15.75" customHeight="1">
      <c r="A145" s="38">
        <v>46374.0</v>
      </c>
      <c r="B145" s="39" t="s">
        <v>110</v>
      </c>
      <c r="C145" s="54" t="s">
        <v>42</v>
      </c>
      <c r="D145" s="49"/>
      <c r="E145" s="53"/>
      <c r="F145" s="49"/>
      <c r="G145" s="44" t="str">
        <f t="shared" si="1"/>
        <v/>
      </c>
      <c r="H145" s="46">
        <f t="shared" si="2"/>
        <v>0</v>
      </c>
      <c r="I145" s="47"/>
    </row>
    <row r="146" ht="15.75" customHeight="1">
      <c r="A146" s="51">
        <v>46374.0</v>
      </c>
      <c r="B146" s="52" t="s">
        <v>117</v>
      </c>
      <c r="C146" s="54" t="s">
        <v>44</v>
      </c>
      <c r="D146" s="49"/>
      <c r="E146" s="53"/>
      <c r="F146" s="49"/>
      <c r="G146" s="44" t="str">
        <f t="shared" si="1"/>
        <v/>
      </c>
      <c r="H146" s="46">
        <f t="shared" si="2"/>
        <v>0</v>
      </c>
      <c r="I146" s="47"/>
    </row>
    <row r="147" ht="15.75" customHeight="1">
      <c r="A147" s="51">
        <v>46374.0</v>
      </c>
      <c r="B147" s="52" t="s">
        <v>117</v>
      </c>
      <c r="C147" s="54" t="s">
        <v>43</v>
      </c>
      <c r="D147" s="49"/>
      <c r="E147" s="53"/>
      <c r="F147" s="49"/>
      <c r="G147" s="44" t="str">
        <f t="shared" si="1"/>
        <v/>
      </c>
      <c r="H147" s="46">
        <f t="shared" si="2"/>
        <v>0</v>
      </c>
      <c r="I147" s="47"/>
    </row>
    <row r="148" ht="15.75" customHeight="1">
      <c r="A148" s="51">
        <v>46374.0</v>
      </c>
      <c r="B148" s="52" t="s">
        <v>117</v>
      </c>
      <c r="C148" s="54" t="s">
        <v>45</v>
      </c>
      <c r="D148" s="49"/>
      <c r="E148" s="53"/>
      <c r="F148" s="49"/>
      <c r="G148" s="44" t="str">
        <f t="shared" si="1"/>
        <v/>
      </c>
      <c r="H148" s="46">
        <f t="shared" si="2"/>
        <v>0</v>
      </c>
      <c r="I148" s="47"/>
    </row>
    <row r="149" ht="15.75" customHeight="1">
      <c r="A149" s="51">
        <v>46374.0</v>
      </c>
      <c r="B149" s="52" t="s">
        <v>117</v>
      </c>
      <c r="C149" s="54" t="s">
        <v>26</v>
      </c>
      <c r="D149" s="49"/>
      <c r="E149" s="53"/>
      <c r="F149" s="49"/>
      <c r="G149" s="44" t="str">
        <f t="shared" si="1"/>
        <v/>
      </c>
      <c r="H149" s="46">
        <f t="shared" si="2"/>
        <v>0</v>
      </c>
      <c r="I149" s="47"/>
    </row>
    <row r="150" ht="15.75" customHeight="1">
      <c r="A150" s="51">
        <v>46374.0</v>
      </c>
      <c r="B150" s="52" t="s">
        <v>117</v>
      </c>
      <c r="C150" s="54" t="s">
        <v>14</v>
      </c>
      <c r="D150" s="49"/>
      <c r="E150" s="53"/>
      <c r="F150" s="49"/>
      <c r="G150" s="44" t="str">
        <f t="shared" si="1"/>
        <v/>
      </c>
      <c r="H150" s="46">
        <f t="shared" si="2"/>
        <v>0</v>
      </c>
      <c r="I150" s="47"/>
    </row>
    <row r="151" ht="15.75" customHeight="1">
      <c r="A151" s="38">
        <v>46381.0</v>
      </c>
      <c r="B151" s="39" t="s">
        <v>110</v>
      </c>
      <c r="C151" s="54" t="s">
        <v>29</v>
      </c>
      <c r="D151" s="49"/>
      <c r="E151" s="53"/>
      <c r="F151" s="49"/>
      <c r="G151" s="44" t="str">
        <f t="shared" si="1"/>
        <v/>
      </c>
      <c r="H151" s="46">
        <f t="shared" si="2"/>
        <v>0</v>
      </c>
      <c r="I151" s="47"/>
    </row>
    <row r="152" ht="15.75" customHeight="1">
      <c r="A152" s="38">
        <v>46381.0</v>
      </c>
      <c r="B152" s="39" t="s">
        <v>110</v>
      </c>
      <c r="C152" s="54" t="s">
        <v>19</v>
      </c>
      <c r="D152" s="49"/>
      <c r="E152" s="53"/>
      <c r="F152" s="49"/>
      <c r="G152" s="44" t="str">
        <f t="shared" si="1"/>
        <v/>
      </c>
      <c r="H152" s="46">
        <f t="shared" si="2"/>
        <v>0</v>
      </c>
      <c r="I152" s="47"/>
    </row>
    <row r="153" ht="15.75" customHeight="1">
      <c r="A153" s="38">
        <v>46381.0</v>
      </c>
      <c r="B153" s="39" t="s">
        <v>110</v>
      </c>
      <c r="C153" s="54" t="s">
        <v>27</v>
      </c>
      <c r="D153" s="49"/>
      <c r="E153" s="53"/>
      <c r="F153" s="49"/>
      <c r="G153" s="44" t="str">
        <f t="shared" si="1"/>
        <v/>
      </c>
      <c r="H153" s="46">
        <f t="shared" si="2"/>
        <v>0</v>
      </c>
      <c r="I153" s="47"/>
    </row>
    <row r="154" ht="15.75" customHeight="1">
      <c r="A154" s="38">
        <v>46381.0</v>
      </c>
      <c r="B154" s="39" t="s">
        <v>110</v>
      </c>
      <c r="C154" s="54" t="s">
        <v>42</v>
      </c>
      <c r="D154" s="49"/>
      <c r="E154" s="53"/>
      <c r="F154" s="49"/>
      <c r="G154" s="44" t="str">
        <f t="shared" si="1"/>
        <v/>
      </c>
      <c r="H154" s="46">
        <f t="shared" si="2"/>
        <v>0</v>
      </c>
      <c r="I154" s="47"/>
    </row>
    <row r="155" ht="15.75" customHeight="1">
      <c r="A155" s="51">
        <v>46381.0</v>
      </c>
      <c r="B155" s="52" t="s">
        <v>117</v>
      </c>
      <c r="C155" s="54" t="s">
        <v>44</v>
      </c>
      <c r="D155" s="49"/>
      <c r="E155" s="53"/>
      <c r="F155" s="49"/>
      <c r="G155" s="44" t="str">
        <f t="shared" si="1"/>
        <v/>
      </c>
      <c r="H155" s="46">
        <f t="shared" si="2"/>
        <v>0</v>
      </c>
      <c r="I155" s="47"/>
    </row>
    <row r="156" ht="15.75" customHeight="1">
      <c r="A156" s="51">
        <v>46381.0</v>
      </c>
      <c r="B156" s="52" t="s">
        <v>117</v>
      </c>
      <c r="C156" s="54" t="s">
        <v>43</v>
      </c>
      <c r="D156" s="49"/>
      <c r="E156" s="53"/>
      <c r="F156" s="49"/>
      <c r="G156" s="44" t="str">
        <f t="shared" si="1"/>
        <v/>
      </c>
      <c r="H156" s="46">
        <f t="shared" si="2"/>
        <v>0</v>
      </c>
      <c r="I156" s="47"/>
    </row>
    <row r="157" ht="15.75" customHeight="1">
      <c r="A157" s="51">
        <v>46381.0</v>
      </c>
      <c r="B157" s="52" t="s">
        <v>117</v>
      </c>
      <c r="C157" s="54" t="s">
        <v>45</v>
      </c>
      <c r="D157" s="49"/>
      <c r="E157" s="53"/>
      <c r="F157" s="49"/>
      <c r="G157" s="44" t="str">
        <f t="shared" si="1"/>
        <v/>
      </c>
      <c r="H157" s="46">
        <f t="shared" si="2"/>
        <v>0</v>
      </c>
      <c r="I157" s="47"/>
    </row>
    <row r="158" ht="15.75" customHeight="1">
      <c r="A158" s="51">
        <v>46381.0</v>
      </c>
      <c r="B158" s="52" t="s">
        <v>117</v>
      </c>
      <c r="C158" s="54" t="s">
        <v>26</v>
      </c>
      <c r="D158" s="49"/>
      <c r="E158" s="53"/>
      <c r="F158" s="49"/>
      <c r="G158" s="44" t="str">
        <f t="shared" si="1"/>
        <v/>
      </c>
      <c r="H158" s="46">
        <f t="shared" si="2"/>
        <v>0</v>
      </c>
      <c r="I158" s="47"/>
    </row>
    <row r="159" ht="15.75" customHeight="1">
      <c r="A159" s="51">
        <v>46381.0</v>
      </c>
      <c r="B159" s="52" t="s">
        <v>117</v>
      </c>
      <c r="C159" s="54" t="s">
        <v>14</v>
      </c>
      <c r="D159" s="49"/>
      <c r="E159" s="53"/>
      <c r="F159" s="49"/>
      <c r="G159" s="44" t="str">
        <f t="shared" si="1"/>
        <v/>
      </c>
      <c r="H159" s="46">
        <f t="shared" si="2"/>
        <v>0</v>
      </c>
      <c r="I159" s="47"/>
    </row>
    <row r="160" ht="15.75" customHeight="1">
      <c r="A160" s="38">
        <v>46388.0</v>
      </c>
      <c r="B160" s="39" t="s">
        <v>110</v>
      </c>
      <c r="C160" s="54" t="s">
        <v>29</v>
      </c>
      <c r="D160" s="49"/>
      <c r="E160" s="53"/>
      <c r="F160" s="49"/>
      <c r="G160" s="44" t="str">
        <f t="shared" si="1"/>
        <v/>
      </c>
      <c r="H160" s="46">
        <f t="shared" si="2"/>
        <v>0</v>
      </c>
      <c r="I160" s="47"/>
    </row>
    <row r="161" ht="15.75" customHeight="1">
      <c r="A161" s="38">
        <v>46388.0</v>
      </c>
      <c r="B161" s="39" t="s">
        <v>110</v>
      </c>
      <c r="C161" s="54" t="s">
        <v>19</v>
      </c>
      <c r="D161" s="49"/>
      <c r="E161" s="53"/>
      <c r="F161" s="49"/>
      <c r="G161" s="44" t="str">
        <f t="shared" si="1"/>
        <v/>
      </c>
      <c r="H161" s="46">
        <f t="shared" si="2"/>
        <v>0</v>
      </c>
      <c r="I161" s="47"/>
    </row>
    <row r="162" ht="15.75" customHeight="1">
      <c r="A162" s="38">
        <v>46388.0</v>
      </c>
      <c r="B162" s="39" t="s">
        <v>110</v>
      </c>
      <c r="C162" s="54" t="s">
        <v>27</v>
      </c>
      <c r="D162" s="49"/>
      <c r="E162" s="53"/>
      <c r="F162" s="49"/>
      <c r="G162" s="44" t="str">
        <f t="shared" si="1"/>
        <v/>
      </c>
      <c r="H162" s="46">
        <f t="shared" si="2"/>
        <v>0</v>
      </c>
      <c r="I162" s="47"/>
    </row>
    <row r="163" ht="15.75" customHeight="1">
      <c r="A163" s="38">
        <v>46388.0</v>
      </c>
      <c r="B163" s="39" t="s">
        <v>110</v>
      </c>
      <c r="C163" s="54" t="s">
        <v>42</v>
      </c>
      <c r="D163" s="49"/>
      <c r="E163" s="53"/>
      <c r="F163" s="49"/>
      <c r="G163" s="44" t="str">
        <f t="shared" si="1"/>
        <v/>
      </c>
      <c r="H163" s="46">
        <f t="shared" si="2"/>
        <v>0</v>
      </c>
      <c r="I163" s="47"/>
    </row>
    <row r="164" ht="15.75" customHeight="1">
      <c r="A164" s="51">
        <v>46388.0</v>
      </c>
      <c r="B164" s="52" t="s">
        <v>117</v>
      </c>
      <c r="C164" s="54" t="s">
        <v>44</v>
      </c>
      <c r="D164" s="49"/>
      <c r="E164" s="53"/>
      <c r="F164" s="49"/>
      <c r="G164" s="44" t="str">
        <f t="shared" si="1"/>
        <v/>
      </c>
      <c r="H164" s="46">
        <f t="shared" si="2"/>
        <v>0</v>
      </c>
      <c r="I164" s="47"/>
    </row>
    <row r="165" ht="15.75" customHeight="1">
      <c r="A165" s="51">
        <v>46388.0</v>
      </c>
      <c r="B165" s="52" t="s">
        <v>117</v>
      </c>
      <c r="C165" s="54" t="s">
        <v>43</v>
      </c>
      <c r="D165" s="49"/>
      <c r="E165" s="53"/>
      <c r="F165" s="49"/>
      <c r="G165" s="44" t="str">
        <f t="shared" si="1"/>
        <v/>
      </c>
      <c r="H165" s="46">
        <f t="shared" si="2"/>
        <v>0</v>
      </c>
      <c r="I165" s="47"/>
    </row>
    <row r="166" ht="15.75" customHeight="1">
      <c r="A166" s="51">
        <v>46388.0</v>
      </c>
      <c r="B166" s="52" t="s">
        <v>117</v>
      </c>
      <c r="C166" s="54" t="s">
        <v>45</v>
      </c>
      <c r="D166" s="49"/>
      <c r="E166" s="53"/>
      <c r="F166" s="49"/>
      <c r="G166" s="44" t="str">
        <f t="shared" si="1"/>
        <v/>
      </c>
      <c r="H166" s="46">
        <f t="shared" si="2"/>
        <v>0</v>
      </c>
      <c r="I166" s="47"/>
    </row>
    <row r="167" ht="15.75" customHeight="1">
      <c r="A167" s="51">
        <v>46388.0</v>
      </c>
      <c r="B167" s="52" t="s">
        <v>117</v>
      </c>
      <c r="C167" s="54" t="s">
        <v>26</v>
      </c>
      <c r="D167" s="49"/>
      <c r="E167" s="53"/>
      <c r="F167" s="49"/>
      <c r="G167" s="44" t="str">
        <f t="shared" si="1"/>
        <v/>
      </c>
      <c r="H167" s="46">
        <f t="shared" si="2"/>
        <v>0</v>
      </c>
      <c r="I167" s="47"/>
    </row>
    <row r="168" ht="15.75" customHeight="1">
      <c r="A168" s="51">
        <v>46388.0</v>
      </c>
      <c r="B168" s="52" t="s">
        <v>117</v>
      </c>
      <c r="C168" s="54" t="s">
        <v>14</v>
      </c>
      <c r="D168" s="49"/>
      <c r="E168" s="53"/>
      <c r="F168" s="49"/>
      <c r="G168" s="44" t="str">
        <f t="shared" si="1"/>
        <v/>
      </c>
      <c r="H168" s="46">
        <f t="shared" si="2"/>
        <v>0</v>
      </c>
      <c r="I168" s="47"/>
    </row>
    <row r="169" ht="15.75" customHeight="1">
      <c r="A169" s="38">
        <v>46395.0</v>
      </c>
      <c r="B169" s="39" t="s">
        <v>110</v>
      </c>
      <c r="C169" s="54" t="s">
        <v>29</v>
      </c>
      <c r="D169" s="49"/>
      <c r="E169" s="53"/>
      <c r="F169" s="49"/>
      <c r="G169" s="44" t="str">
        <f t="shared" si="1"/>
        <v/>
      </c>
      <c r="H169" s="46">
        <f t="shared" si="2"/>
        <v>0</v>
      </c>
      <c r="I169" s="47"/>
    </row>
    <row r="170" ht="15.75" customHeight="1">
      <c r="A170" s="38">
        <v>46395.0</v>
      </c>
      <c r="B170" s="39" t="s">
        <v>110</v>
      </c>
      <c r="C170" s="54" t="s">
        <v>19</v>
      </c>
      <c r="D170" s="49"/>
      <c r="E170" s="53"/>
      <c r="F170" s="49"/>
      <c r="G170" s="44" t="str">
        <f t="shared" si="1"/>
        <v/>
      </c>
      <c r="H170" s="46">
        <f t="shared" si="2"/>
        <v>0</v>
      </c>
      <c r="I170" s="47"/>
    </row>
    <row r="171" ht="15.75" customHeight="1">
      <c r="A171" s="38">
        <v>46395.0</v>
      </c>
      <c r="B171" s="39" t="s">
        <v>110</v>
      </c>
      <c r="C171" s="54" t="s">
        <v>27</v>
      </c>
      <c r="D171" s="49"/>
      <c r="E171" s="53"/>
      <c r="F171" s="49"/>
      <c r="G171" s="44" t="str">
        <f t="shared" si="1"/>
        <v/>
      </c>
      <c r="H171" s="46">
        <f t="shared" si="2"/>
        <v>0</v>
      </c>
      <c r="I171" s="47"/>
    </row>
    <row r="172" ht="15.75" customHeight="1">
      <c r="A172" s="38">
        <v>46395.0</v>
      </c>
      <c r="B172" s="39" t="s">
        <v>110</v>
      </c>
      <c r="C172" s="54" t="s">
        <v>42</v>
      </c>
      <c r="D172" s="49"/>
      <c r="E172" s="53"/>
      <c r="F172" s="49"/>
      <c r="G172" s="44" t="str">
        <f t="shared" si="1"/>
        <v/>
      </c>
      <c r="H172" s="46">
        <f t="shared" si="2"/>
        <v>0</v>
      </c>
      <c r="I172" s="47"/>
    </row>
    <row r="173" ht="15.75" customHeight="1">
      <c r="A173" s="51">
        <v>46395.0</v>
      </c>
      <c r="B173" s="52" t="s">
        <v>117</v>
      </c>
      <c r="C173" s="54" t="s">
        <v>44</v>
      </c>
      <c r="D173" s="49"/>
      <c r="E173" s="53"/>
      <c r="F173" s="49"/>
      <c r="G173" s="44" t="str">
        <f t="shared" si="1"/>
        <v/>
      </c>
      <c r="H173" s="46">
        <f t="shared" si="2"/>
        <v>0</v>
      </c>
      <c r="I173" s="47"/>
    </row>
    <row r="174" ht="15.75" customHeight="1">
      <c r="A174" s="51">
        <v>46395.0</v>
      </c>
      <c r="B174" s="52" t="s">
        <v>117</v>
      </c>
      <c r="C174" s="54" t="s">
        <v>43</v>
      </c>
      <c r="D174" s="49"/>
      <c r="E174" s="53"/>
      <c r="F174" s="49"/>
      <c r="G174" s="44" t="str">
        <f t="shared" si="1"/>
        <v/>
      </c>
      <c r="H174" s="46">
        <f t="shared" si="2"/>
        <v>0</v>
      </c>
      <c r="I174" s="47"/>
    </row>
    <row r="175" ht="15.75" customHeight="1">
      <c r="A175" s="51">
        <v>46395.0</v>
      </c>
      <c r="B175" s="52" t="s">
        <v>117</v>
      </c>
      <c r="C175" s="54" t="s">
        <v>45</v>
      </c>
      <c r="D175" s="49"/>
      <c r="E175" s="53"/>
      <c r="F175" s="49"/>
      <c r="G175" s="44" t="str">
        <f t="shared" si="1"/>
        <v/>
      </c>
      <c r="H175" s="46">
        <f t="shared" si="2"/>
        <v>0</v>
      </c>
      <c r="I175" s="47"/>
    </row>
    <row r="176" ht="15.75" customHeight="1">
      <c r="A176" s="51">
        <v>46395.0</v>
      </c>
      <c r="B176" s="52" t="s">
        <v>117</v>
      </c>
      <c r="C176" s="54" t="s">
        <v>26</v>
      </c>
      <c r="D176" s="49"/>
      <c r="E176" s="53"/>
      <c r="F176" s="49"/>
      <c r="G176" s="44" t="str">
        <f t="shared" si="1"/>
        <v/>
      </c>
      <c r="H176" s="46">
        <f t="shared" si="2"/>
        <v>0</v>
      </c>
      <c r="I176" s="47"/>
    </row>
    <row r="177" ht="15.75" customHeight="1">
      <c r="A177" s="51">
        <v>46395.0</v>
      </c>
      <c r="B177" s="52" t="s">
        <v>117</v>
      </c>
      <c r="C177" s="54" t="s">
        <v>14</v>
      </c>
      <c r="D177" s="49"/>
      <c r="E177" s="53"/>
      <c r="F177" s="49"/>
      <c r="G177" s="44" t="str">
        <f t="shared" si="1"/>
        <v/>
      </c>
      <c r="H177" s="46">
        <f t="shared" si="2"/>
        <v>0</v>
      </c>
      <c r="I177" s="47"/>
    </row>
    <row r="178" ht="15.75" customHeight="1">
      <c r="A178" s="38">
        <v>46402.0</v>
      </c>
      <c r="B178" s="39" t="s">
        <v>110</v>
      </c>
      <c r="C178" s="54" t="s">
        <v>29</v>
      </c>
      <c r="D178" s="49"/>
      <c r="E178" s="53"/>
      <c r="F178" s="49"/>
      <c r="G178" s="44" t="str">
        <f t="shared" si="1"/>
        <v/>
      </c>
      <c r="H178" s="46">
        <f t="shared" si="2"/>
        <v>0</v>
      </c>
      <c r="I178" s="47"/>
    </row>
    <row r="179" ht="15.75" customHeight="1">
      <c r="A179" s="38">
        <v>46402.0</v>
      </c>
      <c r="B179" s="39" t="s">
        <v>110</v>
      </c>
      <c r="C179" s="54" t="s">
        <v>19</v>
      </c>
      <c r="D179" s="49"/>
      <c r="E179" s="53"/>
      <c r="F179" s="49"/>
      <c r="G179" s="44" t="str">
        <f t="shared" si="1"/>
        <v/>
      </c>
      <c r="H179" s="46">
        <f t="shared" si="2"/>
        <v>0</v>
      </c>
      <c r="I179" s="47"/>
    </row>
    <row r="180" ht="15.75" customHeight="1">
      <c r="A180" s="38">
        <v>46402.0</v>
      </c>
      <c r="B180" s="39" t="s">
        <v>110</v>
      </c>
      <c r="C180" s="54" t="s">
        <v>27</v>
      </c>
      <c r="D180" s="49"/>
      <c r="E180" s="53"/>
      <c r="F180" s="49"/>
      <c r="G180" s="44" t="str">
        <f t="shared" si="1"/>
        <v/>
      </c>
      <c r="H180" s="46">
        <f t="shared" si="2"/>
        <v>0</v>
      </c>
      <c r="I180" s="47"/>
    </row>
    <row r="181" ht="15.75" customHeight="1">
      <c r="A181" s="38">
        <v>46402.0</v>
      </c>
      <c r="B181" s="39" t="s">
        <v>110</v>
      </c>
      <c r="C181" s="54" t="s">
        <v>42</v>
      </c>
      <c r="D181" s="49"/>
      <c r="E181" s="53"/>
      <c r="F181" s="49"/>
      <c r="G181" s="44" t="str">
        <f t="shared" si="1"/>
        <v/>
      </c>
      <c r="H181" s="46">
        <f t="shared" si="2"/>
        <v>0</v>
      </c>
      <c r="I181" s="47"/>
    </row>
    <row r="182" ht="15.75" customHeight="1">
      <c r="A182" s="51">
        <v>46402.0</v>
      </c>
      <c r="B182" s="52" t="s">
        <v>117</v>
      </c>
      <c r="C182" s="54" t="s">
        <v>44</v>
      </c>
      <c r="D182" s="49"/>
      <c r="E182" s="53"/>
      <c r="F182" s="49"/>
      <c r="G182" s="44" t="str">
        <f t="shared" si="1"/>
        <v/>
      </c>
      <c r="H182" s="46">
        <f t="shared" si="2"/>
        <v>0</v>
      </c>
      <c r="I182" s="47"/>
    </row>
    <row r="183" ht="15.75" customHeight="1">
      <c r="A183" s="51">
        <v>46402.0</v>
      </c>
      <c r="B183" s="52" t="s">
        <v>117</v>
      </c>
      <c r="C183" s="54" t="s">
        <v>43</v>
      </c>
      <c r="D183" s="49"/>
      <c r="E183" s="53"/>
      <c r="F183" s="49"/>
      <c r="G183" s="44" t="str">
        <f t="shared" si="1"/>
        <v/>
      </c>
      <c r="H183" s="46">
        <f t="shared" si="2"/>
        <v>0</v>
      </c>
      <c r="I183" s="47"/>
    </row>
    <row r="184" ht="15.75" customHeight="1">
      <c r="A184" s="51">
        <v>46402.0</v>
      </c>
      <c r="B184" s="52" t="s">
        <v>117</v>
      </c>
      <c r="C184" s="54" t="s">
        <v>45</v>
      </c>
      <c r="D184" s="49"/>
      <c r="E184" s="53"/>
      <c r="F184" s="49"/>
      <c r="G184" s="44" t="str">
        <f t="shared" si="1"/>
        <v/>
      </c>
      <c r="H184" s="46">
        <f t="shared" si="2"/>
        <v>0</v>
      </c>
      <c r="I184" s="47"/>
    </row>
    <row r="185" ht="15.75" customHeight="1">
      <c r="A185" s="51">
        <v>46402.0</v>
      </c>
      <c r="B185" s="52" t="s">
        <v>117</v>
      </c>
      <c r="C185" s="54" t="s">
        <v>26</v>
      </c>
      <c r="D185" s="49"/>
      <c r="E185" s="53"/>
      <c r="F185" s="49"/>
      <c r="G185" s="44" t="str">
        <f t="shared" si="1"/>
        <v/>
      </c>
      <c r="H185" s="46">
        <f t="shared" si="2"/>
        <v>0</v>
      </c>
      <c r="I185" s="47"/>
    </row>
    <row r="186" ht="15.75" customHeight="1">
      <c r="A186" s="51">
        <v>46402.0</v>
      </c>
      <c r="B186" s="52" t="s">
        <v>117</v>
      </c>
      <c r="C186" s="54" t="s">
        <v>14</v>
      </c>
      <c r="D186" s="49"/>
      <c r="E186" s="53"/>
      <c r="F186" s="49"/>
      <c r="G186" s="44" t="str">
        <f t="shared" si="1"/>
        <v/>
      </c>
      <c r="H186" s="46">
        <f t="shared" si="2"/>
        <v>0</v>
      </c>
      <c r="I186" s="47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G7:G186">
    <cfRule type="containsText" dxfId="6" priority="1" operator="containsText" text="Tidak">
      <formula>NOT(ISERROR(SEARCH(("Tidak"),(G7))))</formula>
    </cfRule>
  </conditionalFormatting>
  <conditionalFormatting sqref="G7:G186">
    <cfRule type="containsText" dxfId="5" priority="2" operator="containsText" text="Ya">
      <formula>NOT(ISERROR(SEARCH(("Ya"),(G7))))</formula>
    </cfRule>
  </conditionalFormatting>
  <dataValidations>
    <dataValidation type="list" allowBlank="1" sqref="B7:B186">
      <formula1>"Pagi,Siang"</formula1>
    </dataValidation>
    <dataValidation type="custom" allowBlank="1" showDropDown="1" sqref="E7:E186">
      <formula1>OR(TIMEVALUE(TEXT(E7, "hh:mm:ss"))=E7, AND(ISNUMBER(E7), LEFT(CELL("format", E7))="D"))</formula1>
    </dataValidation>
    <dataValidation type="custom" allowBlank="1" sqref="A7:A186">
      <formula1>OR(NOT(ISERROR(DATEVALUE(A7))), AND(ISNUMBER(A7), LEFT(CELL("format", A7))="D"))</formula1>
    </dataValidation>
    <dataValidation type="list" allowBlank="1" sqref="G7:G186">
      <formula1>"Ya,Tidak"</formula1>
    </dataValidation>
    <dataValidation type="list" allowBlank="1" sqref="F7:F186">
      <formula1>"Ya,Tidak"</formula1>
    </dataValidation>
    <dataValidation type="custom" allowBlank="1" sqref="H7:H186">
      <formula1/>
    </dataValidation>
    <dataValidation type="list" allowBlank="1" sqref="D7:D186">
      <formula1>"Hadir,Tidak Hadir"</formula1>
    </dataValidation>
    <dataValidation type="list" allowBlank="1" sqref="I7:I186">
      <formula1>"Lunas,Belum Lunas"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